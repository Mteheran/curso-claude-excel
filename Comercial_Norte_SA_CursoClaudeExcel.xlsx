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guelteheran/Downloads/"/>
    </mc:Choice>
  </mc:AlternateContent>
  <xr:revisionPtr revIDLastSave="0" documentId="13_ncr:1_{9B9BE370-A093-8A4B-9A01-6A219486A0C8}" xr6:coauthVersionLast="47" xr6:coauthVersionMax="47" xr10:uidLastSave="{00000000-0000-0000-0000-000000000000}"/>
  <bookViews>
    <workbookView xWindow="34560" yWindow="500" windowWidth="25600" windowHeight="13900" tabRatio="500" firstSheet="2" activeTab="7" xr2:uid="{00000000-000D-0000-FFFF-FFFF00000000}"/>
  </bookViews>
  <sheets>
    <sheet name="Ventas" sheetId="1" r:id="rId1"/>
    <sheet name="Gastos" sheetId="2" r:id="rId2"/>
    <sheet name="Empleados" sheetId="3" r:id="rId3"/>
    <sheet name="Resumen" sheetId="4" r:id="rId4"/>
    <sheet name="Errores_Demo" sheetId="5" r:id="rId5"/>
    <sheet name="Formulas_Avanzadas" sheetId="6" r:id="rId6"/>
    <sheet name="Datos sucios" sheetId="7" r:id="rId7"/>
    <sheet name="Datos limpios" sheetId="8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4" l="1"/>
  <c r="F20" i="4"/>
  <c r="F19" i="4"/>
  <c r="F18" i="4"/>
  <c r="F17" i="4"/>
  <c r="B14" i="4"/>
  <c r="D6" i="5"/>
  <c r="D4" i="5"/>
  <c r="C8" i="5"/>
  <c r="E12" i="5"/>
  <c r="D7" i="5"/>
  <c r="D5" i="5"/>
  <c r="D3" i="5"/>
  <c r="B20" i="4"/>
  <c r="B19" i="4"/>
  <c r="B18" i="4"/>
  <c r="B17" i="4"/>
  <c r="B13" i="4"/>
  <c r="B12" i="4"/>
  <c r="B11" i="4"/>
  <c r="B5" i="4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51" i="2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8" i="5" l="1"/>
  <c r="B8" i="4"/>
  <c r="G83" i="1"/>
  <c r="B4" i="4"/>
  <c r="B6" i="4"/>
  <c r="B7" i="4"/>
</calcChain>
</file>

<file path=xl/sharedStrings.xml><?xml version="1.0" encoding="utf-8"?>
<sst xmlns="http://schemas.openxmlformats.org/spreadsheetml/2006/main" count="988" uniqueCount="327">
  <si>
    <t>Comercial Norte S.A. — Registro de Ventas 2024</t>
  </si>
  <si>
    <t>#</t>
  </si>
  <si>
    <t>Fecha</t>
  </si>
  <si>
    <t>Producto</t>
  </si>
  <si>
    <t>Categoría</t>
  </si>
  <si>
    <t>Cantidad</t>
  </si>
  <si>
    <t>Precio Unit. ($)</t>
  </si>
  <si>
    <t>Total ($)</t>
  </si>
  <si>
    <t>Vendedor</t>
  </si>
  <si>
    <t>Región</t>
  </si>
  <si>
    <t>2024-01-12</t>
  </si>
  <si>
    <t>Escritorio</t>
  </si>
  <si>
    <t>Mobiliario</t>
  </si>
  <si>
    <t>Carlos Ríos</t>
  </si>
  <si>
    <t>Sur</t>
  </si>
  <si>
    <t>2024-11-25</t>
  </si>
  <si>
    <t>Sofía Ruiz</t>
  </si>
  <si>
    <t>Oriente</t>
  </si>
  <si>
    <t>Silla de oficina</t>
  </si>
  <si>
    <t>Norte</t>
  </si>
  <si>
    <t>Mouse óptico</t>
  </si>
  <si>
    <t>Tecnología</t>
  </si>
  <si>
    <t>2024-08-05</t>
  </si>
  <si>
    <t>Monitor 24"</t>
  </si>
  <si>
    <t>Ana Gómez</t>
  </si>
  <si>
    <t>2024-06-12</t>
  </si>
  <si>
    <t>Carpetas AZ</t>
  </si>
  <si>
    <t>Papelería</t>
  </si>
  <si>
    <t>Centro</t>
  </si>
  <si>
    <t>2024-02-12</t>
  </si>
  <si>
    <t>Lucía Pardo</t>
  </si>
  <si>
    <t>2024-05-05</t>
  </si>
  <si>
    <t>2024-04-05</t>
  </si>
  <si>
    <t>2024-04-18</t>
  </si>
  <si>
    <t>2024-03-18</t>
  </si>
  <si>
    <t>Resma de papel</t>
  </si>
  <si>
    <t>2024-12-05</t>
  </si>
  <si>
    <t>Teclado inalámbrico</t>
  </si>
  <si>
    <t>Silla ergonómica</t>
  </si>
  <si>
    <t>2024-07-12</t>
  </si>
  <si>
    <t>2024-04-12</t>
  </si>
  <si>
    <t>Martín Vera</t>
  </si>
  <si>
    <t>2024-03-05</t>
  </si>
  <si>
    <t>2024-07-25</t>
  </si>
  <si>
    <t>2024-09-05</t>
  </si>
  <si>
    <t>Laptop</t>
  </si>
  <si>
    <t>2024-11-05</t>
  </si>
  <si>
    <t>2024-07-05</t>
  </si>
  <si>
    <t>2024-01-05</t>
  </si>
  <si>
    <t>Tóner impresora</t>
  </si>
  <si>
    <t>2024-04-25</t>
  </si>
  <si>
    <t>2024-02-05</t>
  </si>
  <si>
    <t>2024-09-25</t>
  </si>
  <si>
    <t>2024-10-12</t>
  </si>
  <si>
    <t>2024-12-18</t>
  </si>
  <si>
    <t>2024-07-18</t>
  </si>
  <si>
    <t>2024-06-18</t>
  </si>
  <si>
    <t>2024-02-18</t>
  </si>
  <si>
    <t>2024-08-18</t>
  </si>
  <si>
    <t>2024-01-25</t>
  </si>
  <si>
    <t>2024-11-18</t>
  </si>
  <si>
    <t>2024-08-12</t>
  </si>
  <si>
    <t>2024-10-05</t>
  </si>
  <si>
    <t>2024-05-18</t>
  </si>
  <si>
    <t>2024-10-25</t>
  </si>
  <si>
    <t>2024-03-12</t>
  </si>
  <si>
    <t>2024-09-18</t>
  </si>
  <si>
    <t>2024-05-12</t>
  </si>
  <si>
    <t>TOTAL</t>
  </si>
  <si>
    <t>Comercial Norte S.A. — Control de Gastos 2024</t>
  </si>
  <si>
    <t>Mes</t>
  </si>
  <si>
    <t>Descripción</t>
  </si>
  <si>
    <t>Proveedor</t>
  </si>
  <si>
    <t>Monto ($)</t>
  </si>
  <si>
    <t>Estado</t>
  </si>
  <si>
    <t>Enero</t>
  </si>
  <si>
    <t>Nómina</t>
  </si>
  <si>
    <t>Gasto nómina Enero</t>
  </si>
  <si>
    <t>Claro Empresa</t>
  </si>
  <si>
    <t>Pagado</t>
  </si>
  <si>
    <t>Arriendo</t>
  </si>
  <si>
    <t>Gasto arriendo Enero</t>
  </si>
  <si>
    <t>Papelería Central</t>
  </si>
  <si>
    <t>TransLogística</t>
  </si>
  <si>
    <t>Inmobiliaria Sur</t>
  </si>
  <si>
    <t>Pendiente</t>
  </si>
  <si>
    <t>Febrero</t>
  </si>
  <si>
    <t>Gasto arriendo Febrero</t>
  </si>
  <si>
    <t>Servicios</t>
  </si>
  <si>
    <t>Gasto servicios Febrero</t>
  </si>
  <si>
    <t>Softtech</t>
  </si>
  <si>
    <t>Logística</t>
  </si>
  <si>
    <t>Gasto logística Febrero</t>
  </si>
  <si>
    <t>Marzo</t>
  </si>
  <si>
    <t>Gasto servicios Marzo</t>
  </si>
  <si>
    <t>Gasto nómina Marzo</t>
  </si>
  <si>
    <t>Agencia Pixel</t>
  </si>
  <si>
    <t>Gasto logística Marzo</t>
  </si>
  <si>
    <t>Banco Nómina</t>
  </si>
  <si>
    <t>Gasto arriendo Marzo</t>
  </si>
  <si>
    <t>Abril</t>
  </si>
  <si>
    <t>Gasto nómina Abril</t>
  </si>
  <si>
    <t>Gasto logística Abril</t>
  </si>
  <si>
    <t>Marketing</t>
  </si>
  <si>
    <t>Gasto marketing Abril</t>
  </si>
  <si>
    <t>Gasto papelería Abril</t>
  </si>
  <si>
    <t>Mayo</t>
  </si>
  <si>
    <t>Gasto nómina Mayo</t>
  </si>
  <si>
    <t>Gasto tecnología Mayo</t>
  </si>
  <si>
    <t>Gasto logística Mayo</t>
  </si>
  <si>
    <t>Junio</t>
  </si>
  <si>
    <t>Gasto logística Junio</t>
  </si>
  <si>
    <t>Gasto servicios Junio</t>
  </si>
  <si>
    <t>Gasto marketing Junio</t>
  </si>
  <si>
    <t>Gasto papelería Junio</t>
  </si>
  <si>
    <t>Julio</t>
  </si>
  <si>
    <t>Gasto nómina Julio</t>
  </si>
  <si>
    <t>Gasto logística Julio</t>
  </si>
  <si>
    <t>Gasto papelería Julio</t>
  </si>
  <si>
    <t>Gasto tecnología Julio</t>
  </si>
  <si>
    <t>Agosto</t>
  </si>
  <si>
    <t>Gasto tecnología Agosto</t>
  </si>
  <si>
    <t>Gasto nómina Agosto</t>
  </si>
  <si>
    <t>Gasto arriendo Agosto</t>
  </si>
  <si>
    <t>Gasto logística Agosto</t>
  </si>
  <si>
    <t>Septiembre</t>
  </si>
  <si>
    <t>Gasto servicios Septiembre</t>
  </si>
  <si>
    <t>Gasto tecnología Septiembre</t>
  </si>
  <si>
    <t>Gasto papelería Septiembre</t>
  </si>
  <si>
    <t>Gasto marketing Septiembre</t>
  </si>
  <si>
    <t>Octubre</t>
  </si>
  <si>
    <t>Gasto servicios Octubre</t>
  </si>
  <si>
    <t>Gasto tecnología Octubre</t>
  </si>
  <si>
    <t>Noviembre</t>
  </si>
  <si>
    <t>Gasto arriendo Noviembre</t>
  </si>
  <si>
    <t>Gasto nómina Noviembre</t>
  </si>
  <si>
    <t>Gasto marketing Noviembre</t>
  </si>
  <si>
    <t>Gasto servicios Noviembre</t>
  </si>
  <si>
    <t>Diciembre</t>
  </si>
  <si>
    <t>Gasto marketing Diciembre</t>
  </si>
  <si>
    <t>Gasto servicios Diciembre</t>
  </si>
  <si>
    <t>Comercial Norte S.A. — Lista de Empleados</t>
  </si>
  <si>
    <t>ID</t>
  </si>
  <si>
    <t>Nombre completo</t>
  </si>
  <si>
    <t>Área</t>
  </si>
  <si>
    <t>Cargo</t>
  </si>
  <si>
    <t>Fecha ingreso</t>
  </si>
  <si>
    <t>Salario ($)</t>
  </si>
  <si>
    <t>Años en empresa</t>
  </si>
  <si>
    <t>E001</t>
  </si>
  <si>
    <t>Ventas</t>
  </si>
  <si>
    <t>Ejecutiva de ventas</t>
  </si>
  <si>
    <t>2019-03-15</t>
  </si>
  <si>
    <t>Activo</t>
  </si>
  <si>
    <t>E002</t>
  </si>
  <si>
    <t>Ejecutivo de ventas</t>
  </si>
  <si>
    <t>2021-07-01</t>
  </si>
  <si>
    <t>E003</t>
  </si>
  <si>
    <t>Senior de ventas</t>
  </si>
  <si>
    <t>2017-11-20</t>
  </si>
  <si>
    <t>E004</t>
  </si>
  <si>
    <t>2022-01-10</t>
  </si>
  <si>
    <t>E005</t>
  </si>
  <si>
    <t>Jefa de ventas</t>
  </si>
  <si>
    <t>2015-06-05</t>
  </si>
  <si>
    <t>E006</t>
  </si>
  <si>
    <t>Roberto León</t>
  </si>
  <si>
    <t>Contabilidad</t>
  </si>
  <si>
    <t>Contador</t>
  </si>
  <si>
    <t>2018-09-12</t>
  </si>
  <si>
    <t>E007</t>
  </si>
  <si>
    <t>Paola Salas</t>
  </si>
  <si>
    <t>Auxiliar contable</t>
  </si>
  <si>
    <t>2023-02-28</t>
  </si>
  <si>
    <t>E008</t>
  </si>
  <si>
    <t>Diego Mora</t>
  </si>
  <si>
    <t>Coordinador logístico</t>
  </si>
  <si>
    <t>2016-04-18</t>
  </si>
  <si>
    <t>E009</t>
  </si>
  <si>
    <t>Valeria Cruz</t>
  </si>
  <si>
    <t>Asistente logística</t>
  </si>
  <si>
    <t>2023-08-01</t>
  </si>
  <si>
    <t>E010</t>
  </si>
  <si>
    <t>Fernando Díaz</t>
  </si>
  <si>
    <t>Analista TI</t>
  </si>
  <si>
    <t>2020-05-22</t>
  </si>
  <si>
    <t>E011</t>
  </si>
  <si>
    <t>Isabel Torres</t>
  </si>
  <si>
    <t>Diseñadora gráfica</t>
  </si>
  <si>
    <t>2021-11-15</t>
  </si>
  <si>
    <t>E012</t>
  </si>
  <si>
    <t>Andrés Campos</t>
  </si>
  <si>
    <t>Gerencia</t>
  </si>
  <si>
    <t>Gerente general</t>
  </si>
  <si>
    <t>2012-01-03</t>
  </si>
  <si>
    <t>E013</t>
  </si>
  <si>
    <t>Carmen Vidal</t>
  </si>
  <si>
    <t>RRHH</t>
  </si>
  <si>
    <t>Jefa de RRHH</t>
  </si>
  <si>
    <t>2014-08-30</t>
  </si>
  <si>
    <t>E014</t>
  </si>
  <si>
    <t>Luis Mendez</t>
  </si>
  <si>
    <t>2020-03-01</t>
  </si>
  <si>
    <t>Inactivo</t>
  </si>
  <si>
    <t>E015</t>
  </si>
  <si>
    <t>Gloria Reyes</t>
  </si>
  <si>
    <t>Gerente financiera</t>
  </si>
  <si>
    <t>2013-05-14</t>
  </si>
  <si>
    <t>Comercial Norte S.A. — Dashboard Resumen 2024</t>
  </si>
  <si>
    <t>RESUMEN DE VENTAS</t>
  </si>
  <si>
    <t>Total ventas 2024 ($)</t>
  </si>
  <si>
    <t>Número de transacciones</t>
  </si>
  <si>
    <t>Promedio por venta ($)</t>
  </si>
  <si>
    <t>Venta máxima ($)</t>
  </si>
  <si>
    <t>Venta mínima ($)</t>
  </si>
  <si>
    <t>RESUMEN DE GASTOS</t>
  </si>
  <si>
    <t>Total gastos 2024 ($)</t>
  </si>
  <si>
    <t>Gastos pendientes ($)</t>
  </si>
  <si>
    <t>Gastos pagados ($)</t>
  </si>
  <si>
    <t>RESUMEN DE EMPLEADOS</t>
  </si>
  <si>
    <t>Total empleados</t>
  </si>
  <si>
    <t>Empleados activos</t>
  </si>
  <si>
    <t>Salario promedio ($)</t>
  </si>
  <si>
    <t>Nómina mensual total ($)</t>
  </si>
  <si>
    <t>NOTA DEL CURSO: Este dashboard se construye progresivamente con Claude a lo largo del curso. Al finalizar el Módulo 3 tendrás este resumen completo funcionando.</t>
  </si>
  <si>
    <t>Descuento (%)</t>
  </si>
  <si>
    <t>Monitor</t>
  </si>
  <si>
    <t>Teclado</t>
  </si>
  <si>
    <t>Mouse</t>
  </si>
  <si>
    <t>Silla oficina</t>
  </si>
  <si>
    <t>Comercial Norte S.A. — Fórmulas Avanzadas (Demo clase 2.3)</t>
  </si>
  <si>
    <t>Fórmulas reales que parecen complicadas — Claude las explica en lenguaje simple</t>
  </si>
  <si>
    <t>Nombre</t>
  </si>
  <si>
    <t>¿Qué hace?</t>
  </si>
  <si>
    <t>Fórmula real</t>
  </si>
  <si>
    <t>Usada en</t>
  </si>
  <si>
    <t>Explicación simple</t>
  </si>
  <si>
    <t>BUSCARV anidado</t>
  </si>
  <si>
    <t>Buscar el salario de un vendedor por su nombre</t>
  </si>
  <si>
    <t>'=IFERROR(VLOOKUP(A6,Empleados!B:F,5,0),"No encontrado")</t>
  </si>
  <si>
    <t>Clase 2.3 · Módulo 2</t>
  </si>
  <si>
    <t>Busca 'Ana Gómez' en la hoja Empleados y trae su salario. Si no existe, muestra 'No encontrado'.</t>
  </si>
  <si>
    <t>SUMAR.SI.CONJUNTO</t>
  </si>
  <si>
    <t>Total ventas de Ana Gómez en la región Norte</t>
  </si>
  <si>
    <t>'=SUMIFS(Ventas!G:G,Ventas!H:H,"Ana Gómez",Ventas!I:I,"Norte")</t>
  </si>
  <si>
    <t>Suma solo las ventas donde el vendedor ES Ana Gómez Y la región ES Norte al mismo tiempo.</t>
  </si>
  <si>
    <t>SI con múltiples condiciones</t>
  </si>
  <si>
    <t>Clasificar venta como Alta, Media o Baja</t>
  </si>
  <si>
    <t>'=IF(Ventas!G3&gt;=5000,"Alta",IF(Ventas!G3&gt;=1000,"Media","Baja"))</t>
  </si>
  <si>
    <t>Si el total es 5000 o más → Alta. Si es entre 1000 y 4999 → Media. Si es menos de 1000 → Baja.</t>
  </si>
  <si>
    <t>CONTAR.SI.CONJUNTO</t>
  </si>
  <si>
    <t>Cuántas ventas de Tecnología superan $500</t>
  </si>
  <si>
    <t>'=COUNTIFS(Ventas!D:D,"Tecnología",Ventas!G:G,"&gt;=500")</t>
  </si>
  <si>
    <t>Cuenta las filas donde la categoría ES Tecnología Y el total es mayor o igual a 500.</t>
  </si>
  <si>
    <t>TEXTO + CONCATENAR</t>
  </si>
  <si>
    <t>Crear etiqueta legible de fecha de ingreso</t>
  </si>
  <si>
    <t>'=TEXT(Empleados!E3,"DD/MM/YYYY")&amp;" — "&amp;Empleados!D3</t>
  </si>
  <si>
    <t>Une la fecha de ingreso formateada con el cargo del empleado para crear una etiqueta completa.</t>
  </si>
  <si>
    <t>ÍNDICE + COINCIDIR</t>
  </si>
  <si>
    <t>Buscar empleado por salario máximo</t>
  </si>
  <si>
    <t>'=INDEX(Empleados!B3:B17,MATCH(MAX(Empleados!F3:F17),Empleados!F3:F17,0))</t>
  </si>
  <si>
    <t>Módulo avanzado (Udemy)</t>
  </si>
  <si>
    <t>Encuentra el nombre del empleado con el salario más alto. Más flexible que BUSCARV.</t>
  </si>
  <si>
    <t>PROMEDIO.SI</t>
  </si>
  <si>
    <t>Promedio de ventas solo de la región Sur</t>
  </si>
  <si>
    <t>'=AVERAGEIF(Ventas!I:I,"Sur",Ventas!G:G)</t>
  </si>
  <si>
    <t>Calcula el promedio de la columna Total, pero solo para las filas donde la región es Sur.</t>
  </si>
  <si>
    <t>Comercial Norte S.A. — Reporte de Comisiones y Precios 2024</t>
  </si>
  <si>
    <t>Precio ($)</t>
  </si>
  <si>
    <t>Precio promedio</t>
  </si>
  <si>
    <t>Cálculo de Bonos por Vendedor — Tecnología Q4 2024</t>
  </si>
  <si>
    <t>Condición</t>
  </si>
  <si>
    <t>% Bono</t>
  </si>
  <si>
    <t>Bono calculado ($)</t>
  </si>
  <si>
    <t>&gt;Promedio general</t>
  </si>
  <si>
    <t>10% / 5%</t>
  </si>
  <si>
    <t>Comercial Norte S.A. — Base de Proveedores (datos importados)</t>
  </si>
  <si>
    <t>Fecha factura</t>
  </si>
  <si>
    <t>Estado pago</t>
  </si>
  <si>
    <t>15/03/2024</t>
  </si>
  <si>
    <t xml:space="preserve">  Inmobiliaria Sur  </t>
  </si>
  <si>
    <t>ARRIENDO</t>
  </si>
  <si>
    <t>2024-04-01</t>
  </si>
  <si>
    <t>PAGADO</t>
  </si>
  <si>
    <t>1 Ene 2024</t>
  </si>
  <si>
    <t>pagado</t>
  </si>
  <si>
    <t>AGENCIA PIXEL</t>
  </si>
  <si>
    <t>marketing</t>
  </si>
  <si>
    <t>22/01/2024</t>
  </si>
  <si>
    <t>2024-02-14</t>
  </si>
  <si>
    <t>$3,400.00</t>
  </si>
  <si>
    <t>Pago</t>
  </si>
  <si>
    <t>Banco  Nómina</t>
  </si>
  <si>
    <t>05/05/2024</t>
  </si>
  <si>
    <t>papelería central</t>
  </si>
  <si>
    <t>15-06-2024</t>
  </si>
  <si>
    <t>Si</t>
  </si>
  <si>
    <t>TransLogistica</t>
  </si>
  <si>
    <t>logística</t>
  </si>
  <si>
    <t>PENDIENTE</t>
  </si>
  <si>
    <t>Inmobiliaria sur</t>
  </si>
  <si>
    <t>30/07/2024</t>
  </si>
  <si>
    <t>SERVICIOS</t>
  </si>
  <si>
    <t>Aug 12 2024</t>
  </si>
  <si>
    <t xml:space="preserve"> Agencia Pixel</t>
  </si>
  <si>
    <t>2.100,00</t>
  </si>
  <si>
    <t>pendiente</t>
  </si>
  <si>
    <t>SOFTTECH</t>
  </si>
  <si>
    <t>10/10/2024</t>
  </si>
  <si>
    <t>Banco Nomina</t>
  </si>
  <si>
    <t>nómina</t>
  </si>
  <si>
    <t>2024-11-01</t>
  </si>
  <si>
    <t>15/11/2024</t>
  </si>
  <si>
    <t>1,800 USD</t>
  </si>
  <si>
    <t xml:space="preserve">  Papelería Central</t>
  </si>
  <si>
    <t>papelería</t>
  </si>
  <si>
    <t>01-12-2024</t>
  </si>
  <si>
    <t>No pagado</t>
  </si>
  <si>
    <t>arriendo</t>
  </si>
  <si>
    <t>2024-12-15</t>
  </si>
  <si>
    <t>claro empresa</t>
  </si>
  <si>
    <t>28/12/2024</t>
  </si>
  <si>
    <t>31/12/2024</t>
  </si>
  <si>
    <t>Comercial Norte S.A. — Base de Proveedores (limpia)</t>
  </si>
  <si>
    <t>Fecha Factura</t>
  </si>
  <si>
    <t>Estado Pago</t>
  </si>
  <si>
    <t>Margen neto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</si>
</sst>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B5E20"/>
      <name val="Arial"/>
      <family val="2"/>
    </font>
    <font>
      <sz val="10"/>
      <color rgb="FFB71C1C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1F6B3B"/>
      <name val="Arial"/>
      <family val="2"/>
    </font>
    <font>
      <b/>
      <sz val="11"/>
      <color rgb="FFE65100"/>
      <name val="Arial"/>
      <family val="2"/>
    </font>
    <font>
      <b/>
      <sz val="11"/>
      <color rgb="FF1565C0"/>
      <name val="Arial"/>
      <family val="2"/>
    </font>
    <font>
      <i/>
      <sz val="10"/>
      <color rgb="FF4A148C"/>
      <name val="Arial"/>
      <family val="2"/>
    </font>
    <font>
      <b/>
      <sz val="10"/>
      <name val="Arial"/>
      <family val="2"/>
    </font>
    <font>
      <i/>
      <sz val="10"/>
      <color rgb="FF27500A"/>
      <name val="Arial"/>
      <family val="2"/>
    </font>
    <font>
      <sz val="9"/>
      <color rgb="FF1565C0"/>
      <name val="Courier New"/>
      <family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2E4057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1A7A4A"/>
      <name val="Calibri"/>
      <family val="2"/>
      <charset val="1"/>
    </font>
    <font>
      <b/>
      <sz val="10"/>
      <color rgb="FFC0392B"/>
      <name val="Calibri"/>
      <family val="2"/>
      <charset val="1"/>
    </font>
    <font>
      <b/>
      <sz val="11"/>
      <color rgb="FFC62828"/>
      <name val="Arial"/>
      <family val="2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6B3B"/>
        <bgColor rgb="FF1B5E20"/>
      </patternFill>
    </fill>
    <fill>
      <patternFill patternType="solid">
        <fgColor rgb="FFF5F5F5"/>
        <bgColor rgb="FFE8F5E9"/>
      </patternFill>
    </fill>
    <fill>
      <patternFill patternType="solid">
        <fgColor rgb="FFE65100"/>
        <bgColor rgb="FFB71C1C"/>
      </patternFill>
    </fill>
    <fill>
      <patternFill patternType="solid">
        <fgColor rgb="FFC8E6C9"/>
        <bgColor rgb="FFEAF3DE"/>
      </patternFill>
    </fill>
    <fill>
      <patternFill patternType="solid">
        <fgColor rgb="FFFFCDD2"/>
        <bgColor rgb="FFF3E5F5"/>
      </patternFill>
    </fill>
    <fill>
      <patternFill patternType="solid">
        <fgColor rgb="FF1565C0"/>
        <bgColor rgb="FF3366FF"/>
      </patternFill>
    </fill>
    <fill>
      <patternFill patternType="solid">
        <fgColor rgb="FF4A148C"/>
        <bgColor rgb="FF333399"/>
      </patternFill>
    </fill>
    <fill>
      <patternFill patternType="solid">
        <fgColor rgb="FFE8F5E9"/>
        <bgColor rgb="FFEAF3DE"/>
      </patternFill>
    </fill>
    <fill>
      <patternFill patternType="solid">
        <fgColor rgb="FFFFFFFF"/>
        <bgColor rgb="FFF5F5F5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B71C1C"/>
        <bgColor rgb="FF993366"/>
      </patternFill>
    </fill>
    <fill>
      <patternFill patternType="solid">
        <fgColor rgb="FF27500A"/>
        <bgColor rgb="FF1B5E20"/>
      </patternFill>
    </fill>
    <fill>
      <patternFill patternType="solid">
        <fgColor rgb="FFEAF3DE"/>
        <bgColor rgb="FFE8F5E9"/>
      </patternFill>
    </fill>
    <fill>
      <patternFill patternType="solid">
        <fgColor rgb="FFF5F5F5"/>
        <bgColor rgb="FFECEFF1"/>
      </patternFill>
    </fill>
    <fill>
      <patternFill patternType="solid">
        <fgColor rgb="FFECEFF1"/>
        <bgColor rgb="FFE8F5E9"/>
      </patternFill>
    </fill>
    <fill>
      <patternFill patternType="solid">
        <fgColor rgb="FF37474F"/>
        <bgColor rgb="FF27500A"/>
      </patternFill>
    </fill>
    <fill>
      <patternFill patternType="solid">
        <fgColor rgb="FFE65100"/>
        <bgColor rgb="FFFF6F00"/>
      </patternFill>
    </fill>
    <fill>
      <patternFill patternType="solid">
        <fgColor rgb="FFFFF3E0"/>
        <bgColor rgb="FFF5F5F5"/>
      </patternFill>
    </fill>
    <fill>
      <patternFill patternType="solid">
        <fgColor rgb="FF2E40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565C0"/>
        <bgColor indexed="64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/>
    <xf numFmtId="4" fontId="10" fillId="10" borderId="1" xfId="0" applyNumberFormat="1" applyFont="1" applyFill="1" applyBorder="1"/>
    <xf numFmtId="0" fontId="9" fillId="11" borderId="1" xfId="0" applyFont="1" applyFill="1" applyBorder="1"/>
    <xf numFmtId="4" fontId="11" fillId="10" borderId="1" xfId="0" applyNumberFormat="1" applyFont="1" applyFill="1" applyBorder="1"/>
    <xf numFmtId="0" fontId="9" fillId="12" borderId="1" xfId="0" applyFont="1" applyFill="1" applyBorder="1"/>
    <xf numFmtId="4" fontId="12" fillId="10" borderId="1" xfId="0" applyNumberFormat="1" applyFont="1" applyFill="1" applyBorder="1"/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16" fillId="16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17" fillId="0" borderId="0" xfId="0" applyFont="1"/>
    <xf numFmtId="164" fontId="17" fillId="0" borderId="0" xfId="0" applyNumberFormat="1" applyFont="1"/>
    <xf numFmtId="0" fontId="4" fillId="17" borderId="1" xfId="0" applyFont="1" applyFill="1" applyBorder="1" applyAlignment="1">
      <alignment horizontal="left" vertical="center"/>
    </xf>
    <xf numFmtId="9" fontId="4" fillId="17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9" fontId="4" fillId="10" borderId="1" xfId="0" applyNumberFormat="1" applyFont="1" applyFill="1" applyBorder="1" applyAlignment="1">
      <alignment horizontal="left" vertical="center"/>
    </xf>
    <xf numFmtId="0" fontId="14" fillId="18" borderId="1" xfId="0" applyFont="1" applyFill="1" applyBorder="1" applyAlignment="1">
      <alignment horizontal="left" vertical="center"/>
    </xf>
    <xf numFmtId="9" fontId="14" fillId="18" borderId="1" xfId="0" applyNumberFormat="1" applyFont="1" applyFill="1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0" fontId="3" fillId="19" borderId="1" xfId="0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18" fillId="22" borderId="0" xfId="0" applyFont="1" applyFill="1"/>
    <xf numFmtId="0" fontId="18" fillId="22" borderId="0" xfId="0" applyFont="1" applyFill="1" applyAlignment="1">
      <alignment horizontal="center"/>
    </xf>
    <xf numFmtId="0" fontId="18" fillId="22" borderId="0" xfId="0" applyFont="1" applyFill="1" applyAlignment="1">
      <alignment horizontal="right"/>
    </xf>
    <xf numFmtId="0" fontId="19" fillId="0" borderId="0" xfId="0" applyFont="1"/>
    <xf numFmtId="0" fontId="20" fillId="23" borderId="0" xfId="0" applyFont="1" applyFill="1"/>
    <xf numFmtId="0" fontId="20" fillId="24" borderId="0" xfId="0" applyFont="1" applyFill="1"/>
    <xf numFmtId="0" fontId="20" fillId="23" borderId="0" xfId="0" applyFont="1" applyFill="1" applyAlignment="1">
      <alignment horizontal="center"/>
    </xf>
    <xf numFmtId="0" fontId="20" fillId="24" borderId="0" xfId="0" applyFont="1" applyFill="1" applyAlignment="1">
      <alignment horizontal="center"/>
    </xf>
    <xf numFmtId="165" fontId="20" fillId="23" borderId="0" xfId="0" applyNumberFormat="1" applyFont="1" applyFill="1" applyAlignment="1">
      <alignment horizontal="center"/>
    </xf>
    <xf numFmtId="165" fontId="20" fillId="24" borderId="0" xfId="0" applyNumberFormat="1" applyFont="1" applyFill="1" applyAlignment="1">
      <alignment horizontal="center"/>
    </xf>
    <xf numFmtId="164" fontId="20" fillId="23" borderId="0" xfId="0" applyNumberFormat="1" applyFont="1" applyFill="1" applyAlignment="1">
      <alignment horizontal="right"/>
    </xf>
    <xf numFmtId="164" fontId="20" fillId="24" borderId="0" xfId="0" applyNumberFormat="1" applyFont="1" applyFill="1" applyAlignment="1">
      <alignment horizontal="right"/>
    </xf>
    <xf numFmtId="0" fontId="21" fillId="23" borderId="0" xfId="0" applyFont="1" applyFill="1" applyAlignment="1">
      <alignment horizont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2" fillId="23" borderId="0" xfId="0" applyFont="1" applyFill="1" applyAlignment="1">
      <alignment horizontal="center"/>
    </xf>
    <xf numFmtId="0" fontId="9" fillId="11" borderId="2" xfId="0" applyFont="1" applyFill="1" applyBorder="1"/>
    <xf numFmtId="0" fontId="9" fillId="25" borderId="3" xfId="0" applyFont="1" applyFill="1" applyBorder="1"/>
    <xf numFmtId="4" fontId="11" fillId="10" borderId="2" xfId="0" applyNumberFormat="1" applyFont="1" applyFill="1" applyBorder="1"/>
    <xf numFmtId="4" fontId="23" fillId="23" borderId="1" xfId="0" applyNumberFormat="1" applyFont="1" applyFill="1" applyBorder="1"/>
    <xf numFmtId="0" fontId="24" fillId="0" borderId="0" xfId="0" applyFont="1"/>
    <xf numFmtId="0" fontId="25" fillId="0" borderId="0" xfId="0" applyFont="1"/>
    <xf numFmtId="3" fontId="25" fillId="0" borderId="0" xfId="0" applyNumberFormat="1" applyFont="1"/>
    <xf numFmtId="3" fontId="0" fillId="0" borderId="0" xfId="0" applyNumberFormat="1"/>
    <xf numFmtId="0" fontId="8" fillId="19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3" fillId="26" borderId="0" xfId="0" applyFont="1" applyFill="1" applyAlignment="1">
      <alignment horizontal="center" vertical="center"/>
    </xf>
    <xf numFmtId="0" fontId="13" fillId="13" borderId="1" xfId="0" applyFont="1" applyFill="1" applyBorder="1" applyAlignment="1">
      <alignment vertical="center" wrapText="1"/>
    </xf>
    <xf numFmtId="0" fontId="2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B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4A148C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EAF3DE"/>
      <rgbColor rgb="FFFFEBEE"/>
      <rgbColor rgb="FFF5F5F5"/>
      <rgbColor rgb="FFFFCDD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27500A"/>
      <rgbColor rgb="FFB71C1C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guelteheran/Downloads/Comercial_Norte_SA_CursoClaudeExcel(2).xlsx" TargetMode="External"/><Relationship Id="rId1" Type="http://schemas.openxmlformats.org/officeDocument/2006/relationships/externalLinkPath" Target="Comercial_Norte_SA_CursoClaudeExcel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as"/>
      <sheetName val="Gastos"/>
      <sheetName val="Empleados"/>
      <sheetName val="Resumen"/>
      <sheetName val="Errores_Demo"/>
      <sheetName val="Formulas_Avanzadas"/>
    </sheetNames>
    <sheetDataSet>
      <sheetData sheetId="0">
        <row r="1">
          <cell r="D1"/>
          <cell r="G1"/>
          <cell r="H1"/>
        </row>
        <row r="2">
          <cell r="D2" t="str">
            <v>Categoría</v>
          </cell>
          <cell r="G2" t="str">
            <v>Total ($)</v>
          </cell>
          <cell r="H2" t="str">
            <v>Vendedor</v>
          </cell>
        </row>
        <row r="3">
          <cell r="D3" t="str">
            <v>Mobiliario</v>
          </cell>
          <cell r="G3">
            <v>3150</v>
          </cell>
          <cell r="H3" t="str">
            <v>Carlos Ríos</v>
          </cell>
        </row>
        <row r="4">
          <cell r="D4" t="str">
            <v>Mobiliario</v>
          </cell>
          <cell r="G4">
            <v>3240</v>
          </cell>
          <cell r="H4" t="str">
            <v>Sofía Ruiz</v>
          </cell>
        </row>
        <row r="5">
          <cell r="D5" t="str">
            <v>Mobiliario</v>
          </cell>
          <cell r="G5">
            <v>1050</v>
          </cell>
          <cell r="H5" t="str">
            <v>Carlos Ríos</v>
          </cell>
        </row>
        <row r="6">
          <cell r="D6" t="str">
            <v>Tecnología</v>
          </cell>
          <cell r="G6">
            <v>6840</v>
          </cell>
          <cell r="H6" t="str">
            <v>Sofía Ruiz</v>
          </cell>
        </row>
        <row r="7">
          <cell r="D7" t="str">
            <v>Tecnología</v>
          </cell>
          <cell r="G7">
            <v>9880</v>
          </cell>
          <cell r="H7" t="str">
            <v>Ana Gómez</v>
          </cell>
        </row>
        <row r="8">
          <cell r="D8" t="str">
            <v>Papelería</v>
          </cell>
          <cell r="G8">
            <v>135</v>
          </cell>
          <cell r="H8" t="str">
            <v>Carlos Ríos</v>
          </cell>
        </row>
        <row r="9">
          <cell r="D9" t="str">
            <v>Mobiliario</v>
          </cell>
          <cell r="G9">
            <v>2340</v>
          </cell>
          <cell r="H9" t="str">
            <v>Lucía Pardo</v>
          </cell>
        </row>
        <row r="10">
          <cell r="D10" t="str">
            <v>Tecnología</v>
          </cell>
          <cell r="G10">
            <v>190</v>
          </cell>
          <cell r="H10" t="str">
            <v>Sofía Ruiz</v>
          </cell>
        </row>
        <row r="11">
          <cell r="D11" t="str">
            <v>Papelería</v>
          </cell>
          <cell r="G11">
            <v>396</v>
          </cell>
          <cell r="H11" t="str">
            <v>Sofía Ruiz</v>
          </cell>
        </row>
        <row r="12">
          <cell r="D12" t="str">
            <v>Tecnología</v>
          </cell>
          <cell r="G12">
            <v>750</v>
          </cell>
          <cell r="H12" t="str">
            <v>Carlos Ríos</v>
          </cell>
        </row>
        <row r="13">
          <cell r="D13" t="str">
            <v>Mobiliario</v>
          </cell>
          <cell r="G13">
            <v>1160</v>
          </cell>
          <cell r="H13" t="str">
            <v>Lucía Pardo</v>
          </cell>
        </row>
        <row r="14">
          <cell r="D14" t="str">
            <v>Papelería</v>
          </cell>
          <cell r="G14">
            <v>264</v>
          </cell>
          <cell r="H14" t="str">
            <v>Carlos Ríos</v>
          </cell>
        </row>
        <row r="15">
          <cell r="D15" t="str">
            <v>Tecnología</v>
          </cell>
          <cell r="G15">
            <v>135</v>
          </cell>
          <cell r="H15" t="str">
            <v>Carlos Ríos</v>
          </cell>
        </row>
        <row r="16">
          <cell r="D16" t="str">
            <v>Tecnología</v>
          </cell>
          <cell r="G16">
            <v>1425</v>
          </cell>
          <cell r="H16" t="str">
            <v>Lucía Pardo</v>
          </cell>
        </row>
        <row r="17">
          <cell r="D17" t="str">
            <v>Mobiliario</v>
          </cell>
          <cell r="G17">
            <v>1980</v>
          </cell>
          <cell r="H17" t="str">
            <v>Carlos Ríos</v>
          </cell>
        </row>
        <row r="18">
          <cell r="D18" t="str">
            <v>Papelería</v>
          </cell>
          <cell r="G18">
            <v>72</v>
          </cell>
          <cell r="H18" t="str">
            <v>Carlos Ríos</v>
          </cell>
        </row>
        <row r="19">
          <cell r="D19" t="str">
            <v>Papelería</v>
          </cell>
          <cell r="G19">
            <v>560</v>
          </cell>
          <cell r="H19" t="str">
            <v>Martín Vera</v>
          </cell>
        </row>
        <row r="20">
          <cell r="D20" t="str">
            <v>Tecnología</v>
          </cell>
          <cell r="G20">
            <v>360</v>
          </cell>
          <cell r="H20" t="str">
            <v>Sofía Ruiz</v>
          </cell>
        </row>
        <row r="21">
          <cell r="D21" t="str">
            <v>Tecnología</v>
          </cell>
          <cell r="G21">
            <v>1805</v>
          </cell>
          <cell r="H21" t="str">
            <v>Lucía Pardo</v>
          </cell>
        </row>
        <row r="22">
          <cell r="D22" t="str">
            <v>Tecnología</v>
          </cell>
          <cell r="G22">
            <v>4000</v>
          </cell>
          <cell r="H22" t="str">
            <v>Ana Gómez</v>
          </cell>
        </row>
        <row r="23">
          <cell r="D23" t="str">
            <v>Tecnología</v>
          </cell>
          <cell r="G23">
            <v>570</v>
          </cell>
          <cell r="H23" t="str">
            <v>Sofía Ruiz</v>
          </cell>
        </row>
        <row r="24">
          <cell r="D24" t="str">
            <v>Papelería</v>
          </cell>
          <cell r="G24">
            <v>700</v>
          </cell>
          <cell r="H24" t="str">
            <v>Sofía Ruiz</v>
          </cell>
        </row>
        <row r="25">
          <cell r="D25" t="str">
            <v>Mobiliario</v>
          </cell>
          <cell r="G25">
            <v>1680</v>
          </cell>
          <cell r="H25" t="str">
            <v>Lucía Pardo</v>
          </cell>
        </row>
        <row r="26">
          <cell r="D26" t="str">
            <v>Tecnología</v>
          </cell>
          <cell r="G26">
            <v>570</v>
          </cell>
          <cell r="H26" t="str">
            <v>Ana Gómez</v>
          </cell>
        </row>
        <row r="27">
          <cell r="D27" t="str">
            <v>Tecnología</v>
          </cell>
          <cell r="G27">
            <v>270</v>
          </cell>
          <cell r="H27" t="str">
            <v>Ana Gómez</v>
          </cell>
        </row>
        <row r="28">
          <cell r="D28" t="str">
            <v>Tecnología</v>
          </cell>
          <cell r="G28">
            <v>765</v>
          </cell>
          <cell r="H28" t="str">
            <v>Carlos Ríos</v>
          </cell>
        </row>
        <row r="29">
          <cell r="D29" t="str">
            <v>Papelería</v>
          </cell>
          <cell r="G29">
            <v>144</v>
          </cell>
          <cell r="H29" t="str">
            <v>Sofía Ruiz</v>
          </cell>
        </row>
        <row r="30">
          <cell r="D30" t="str">
            <v>Papelería</v>
          </cell>
          <cell r="G30">
            <v>88</v>
          </cell>
          <cell r="H30" t="str">
            <v>Lucía Pardo</v>
          </cell>
        </row>
        <row r="31">
          <cell r="D31" t="str">
            <v>Mobiliario</v>
          </cell>
          <cell r="G31">
            <v>3420</v>
          </cell>
          <cell r="H31" t="str">
            <v>Ana Gómez</v>
          </cell>
        </row>
        <row r="32">
          <cell r="D32" t="str">
            <v>Papelería</v>
          </cell>
          <cell r="G32">
            <v>270</v>
          </cell>
          <cell r="H32" t="str">
            <v>Carlos Ríos</v>
          </cell>
        </row>
        <row r="33">
          <cell r="D33" t="str">
            <v>Papelería</v>
          </cell>
          <cell r="G33">
            <v>132</v>
          </cell>
          <cell r="H33" t="str">
            <v>Sofía Ruiz</v>
          </cell>
        </row>
        <row r="34">
          <cell r="D34" t="str">
            <v>Papelería</v>
          </cell>
          <cell r="G34">
            <v>270</v>
          </cell>
          <cell r="H34" t="str">
            <v>Lucía Pardo</v>
          </cell>
        </row>
        <row r="35">
          <cell r="D35" t="str">
            <v>Papelería</v>
          </cell>
          <cell r="G35">
            <v>595</v>
          </cell>
          <cell r="H35" t="str">
            <v>Ana Gómez</v>
          </cell>
        </row>
        <row r="36">
          <cell r="D36" t="str">
            <v>Tecnología</v>
          </cell>
          <cell r="G36">
            <v>2750</v>
          </cell>
          <cell r="H36" t="str">
            <v>Sofía Ruiz</v>
          </cell>
        </row>
        <row r="37">
          <cell r="D37" t="str">
            <v>Tecnología</v>
          </cell>
          <cell r="G37">
            <v>2000</v>
          </cell>
          <cell r="H37" t="str">
            <v>Ana Gómez</v>
          </cell>
        </row>
        <row r="38">
          <cell r="D38" t="str">
            <v>Mobiliario</v>
          </cell>
          <cell r="G38">
            <v>540</v>
          </cell>
          <cell r="H38" t="str">
            <v>Lucía Pardo</v>
          </cell>
        </row>
        <row r="39">
          <cell r="D39" t="str">
            <v>Mobiliario</v>
          </cell>
          <cell r="G39">
            <v>2610</v>
          </cell>
          <cell r="H39" t="str">
            <v>Carlos Ríos</v>
          </cell>
        </row>
        <row r="40">
          <cell r="D40" t="str">
            <v>Tecnología</v>
          </cell>
          <cell r="G40">
            <v>855</v>
          </cell>
          <cell r="H40" t="str">
            <v>Martín Vera</v>
          </cell>
        </row>
        <row r="41">
          <cell r="D41" t="str">
            <v>Papelería</v>
          </cell>
          <cell r="G41">
            <v>56</v>
          </cell>
          <cell r="H41" t="str">
            <v>Ana Gómez</v>
          </cell>
        </row>
        <row r="42">
          <cell r="D42" t="str">
            <v>Papelería</v>
          </cell>
          <cell r="G42">
            <v>490</v>
          </cell>
          <cell r="H42" t="str">
            <v>Martín Vera</v>
          </cell>
        </row>
        <row r="43">
          <cell r="D43" t="str">
            <v>Mobiliario</v>
          </cell>
          <cell r="G43">
            <v>720</v>
          </cell>
          <cell r="H43" t="str">
            <v>Martín Vera</v>
          </cell>
        </row>
        <row r="44">
          <cell r="D44" t="str">
            <v>Papelería</v>
          </cell>
          <cell r="G44">
            <v>120</v>
          </cell>
          <cell r="H44" t="str">
            <v>Carlos Ríos</v>
          </cell>
        </row>
        <row r="45">
          <cell r="D45" t="str">
            <v>Papelería</v>
          </cell>
          <cell r="G45">
            <v>210</v>
          </cell>
          <cell r="H45" t="str">
            <v>Lucía Pardo</v>
          </cell>
        </row>
        <row r="46">
          <cell r="D46" t="str">
            <v>Tecnología</v>
          </cell>
          <cell r="G46">
            <v>675</v>
          </cell>
          <cell r="H46" t="str">
            <v>Ana Gómez</v>
          </cell>
        </row>
        <row r="47">
          <cell r="D47" t="str">
            <v>Mobiliario</v>
          </cell>
          <cell r="G47">
            <v>1050</v>
          </cell>
          <cell r="H47" t="str">
            <v>Carlos Ríos</v>
          </cell>
        </row>
        <row r="48">
          <cell r="D48" t="str">
            <v>Papelería</v>
          </cell>
          <cell r="G48">
            <v>245</v>
          </cell>
          <cell r="H48" t="str">
            <v>Ana Gómez</v>
          </cell>
        </row>
        <row r="49">
          <cell r="D49" t="str">
            <v>Papelería</v>
          </cell>
          <cell r="G49">
            <v>286</v>
          </cell>
          <cell r="H49" t="str">
            <v>Martín Vera</v>
          </cell>
        </row>
        <row r="50">
          <cell r="D50" t="str">
            <v>Papelería</v>
          </cell>
          <cell r="G50">
            <v>630</v>
          </cell>
          <cell r="H50" t="str">
            <v>Carlos Ríos</v>
          </cell>
        </row>
        <row r="51">
          <cell r="D51" t="str">
            <v>Tecnología</v>
          </cell>
          <cell r="G51">
            <v>90</v>
          </cell>
          <cell r="H51" t="str">
            <v>Sofía Ruiz</v>
          </cell>
        </row>
        <row r="52">
          <cell r="D52" t="str">
            <v>Papelería</v>
          </cell>
          <cell r="G52">
            <v>70</v>
          </cell>
          <cell r="H52" t="str">
            <v>Sofía Ruiz</v>
          </cell>
        </row>
        <row r="53">
          <cell r="D53" t="str">
            <v>Tecnología</v>
          </cell>
          <cell r="G53">
            <v>4250</v>
          </cell>
          <cell r="H53" t="str">
            <v>Carlos Ríos</v>
          </cell>
        </row>
        <row r="54">
          <cell r="D54" t="str">
            <v>Tecnología</v>
          </cell>
          <cell r="G54">
            <v>760</v>
          </cell>
          <cell r="H54" t="str">
            <v>Ana Gómez</v>
          </cell>
        </row>
        <row r="55">
          <cell r="D55" t="str">
            <v>Tecnología</v>
          </cell>
          <cell r="G55">
            <v>5000</v>
          </cell>
          <cell r="H55" t="str">
            <v>Sofía Ruiz</v>
          </cell>
        </row>
        <row r="56">
          <cell r="D56" t="str">
            <v>Papelería</v>
          </cell>
          <cell r="G56">
            <v>418</v>
          </cell>
          <cell r="H56" t="str">
            <v>Lucía Pardo</v>
          </cell>
        </row>
        <row r="57">
          <cell r="D57" t="str">
            <v>Papelería</v>
          </cell>
          <cell r="G57">
            <v>315</v>
          </cell>
          <cell r="H57" t="str">
            <v>Carlos Ríos</v>
          </cell>
        </row>
        <row r="58">
          <cell r="D58" t="str">
            <v>Tecnología</v>
          </cell>
          <cell r="G58">
            <v>2750</v>
          </cell>
          <cell r="H58" t="str">
            <v>Ana Gómez</v>
          </cell>
        </row>
        <row r="59">
          <cell r="D59" t="str">
            <v>Tecnología</v>
          </cell>
          <cell r="G59">
            <v>1000</v>
          </cell>
          <cell r="H59" t="str">
            <v>Sofía Ruiz</v>
          </cell>
        </row>
        <row r="60">
          <cell r="D60" t="str">
            <v>Mobiliario</v>
          </cell>
          <cell r="G60">
            <v>2100</v>
          </cell>
          <cell r="H60" t="str">
            <v>Ana Gómez</v>
          </cell>
        </row>
        <row r="61">
          <cell r="D61" t="str">
            <v>Papelería</v>
          </cell>
          <cell r="G61">
            <v>210</v>
          </cell>
          <cell r="H61" t="str">
            <v>Sofía Ruiz</v>
          </cell>
        </row>
        <row r="62">
          <cell r="D62" t="str">
            <v>Tecnología</v>
          </cell>
          <cell r="G62">
            <v>4250</v>
          </cell>
          <cell r="H62" t="str">
            <v>Sofía Ruiz</v>
          </cell>
        </row>
        <row r="63">
          <cell r="D63" t="str">
            <v>Mobiliario</v>
          </cell>
          <cell r="G63">
            <v>1620</v>
          </cell>
          <cell r="H63" t="str">
            <v>Ana Gómez</v>
          </cell>
        </row>
        <row r="64">
          <cell r="D64" t="str">
            <v>Mobiliario</v>
          </cell>
          <cell r="G64">
            <v>3780</v>
          </cell>
          <cell r="H64" t="str">
            <v>Sofía Ruiz</v>
          </cell>
        </row>
        <row r="65">
          <cell r="D65" t="str">
            <v>Papelería</v>
          </cell>
          <cell r="G65">
            <v>315</v>
          </cell>
          <cell r="H65" t="str">
            <v>Lucía Pardo</v>
          </cell>
        </row>
        <row r="66">
          <cell r="D66" t="str">
            <v>Mobiliario</v>
          </cell>
          <cell r="G66">
            <v>5880</v>
          </cell>
          <cell r="H66" t="str">
            <v>Ana Gómez</v>
          </cell>
        </row>
        <row r="67">
          <cell r="D67" t="str">
            <v>Papelería</v>
          </cell>
          <cell r="G67">
            <v>135</v>
          </cell>
          <cell r="H67" t="str">
            <v>Martín Vera</v>
          </cell>
        </row>
        <row r="68">
          <cell r="D68" t="str">
            <v>Papelería</v>
          </cell>
          <cell r="G68">
            <v>8</v>
          </cell>
          <cell r="H68" t="str">
            <v>Ana Gómez</v>
          </cell>
        </row>
        <row r="69">
          <cell r="D69" t="str">
            <v>Tecnología</v>
          </cell>
          <cell r="G69">
            <v>1040</v>
          </cell>
          <cell r="H69" t="str">
            <v>Sofía Ruiz</v>
          </cell>
        </row>
        <row r="70">
          <cell r="D70" t="str">
            <v>Tecnología</v>
          </cell>
          <cell r="G70">
            <v>1250</v>
          </cell>
          <cell r="H70" t="str">
            <v>Lucía Pardo</v>
          </cell>
        </row>
        <row r="71">
          <cell r="D71" t="str">
            <v>Mobiliario</v>
          </cell>
          <cell r="G71">
            <v>2450</v>
          </cell>
          <cell r="H71" t="str">
            <v>Ana Gómez</v>
          </cell>
        </row>
        <row r="72">
          <cell r="D72" t="str">
            <v>Mobiliario</v>
          </cell>
          <cell r="G72">
            <v>7000</v>
          </cell>
          <cell r="H72" t="str">
            <v>Carlos Ríos</v>
          </cell>
        </row>
        <row r="73">
          <cell r="D73" t="str">
            <v>Tecnología</v>
          </cell>
          <cell r="G73">
            <v>380</v>
          </cell>
          <cell r="H73" t="str">
            <v>Lucía Pardo</v>
          </cell>
        </row>
        <row r="74">
          <cell r="D74" t="str">
            <v>Tecnología</v>
          </cell>
          <cell r="G74">
            <v>1500</v>
          </cell>
          <cell r="H74" t="str">
            <v>Martín Vera</v>
          </cell>
        </row>
        <row r="75">
          <cell r="D75" t="str">
            <v>Papelería</v>
          </cell>
          <cell r="G75">
            <v>245</v>
          </cell>
          <cell r="H75" t="str">
            <v>Lucía Pardo</v>
          </cell>
        </row>
        <row r="76">
          <cell r="D76" t="str">
            <v>Tecnología</v>
          </cell>
          <cell r="G76">
            <v>380</v>
          </cell>
          <cell r="H76" t="str">
            <v>Martín Vera</v>
          </cell>
        </row>
        <row r="77">
          <cell r="D77" t="str">
            <v>Tecnología</v>
          </cell>
          <cell r="G77">
            <v>4680</v>
          </cell>
          <cell r="H77" t="str">
            <v>Sofía Ruiz</v>
          </cell>
        </row>
        <row r="78">
          <cell r="D78" t="str">
            <v>Mobiliario</v>
          </cell>
          <cell r="G78">
            <v>180</v>
          </cell>
          <cell r="H78" t="str">
            <v>Lucía Pardo</v>
          </cell>
        </row>
        <row r="79">
          <cell r="D79" t="str">
            <v>Tecnología</v>
          </cell>
          <cell r="G79">
            <v>500</v>
          </cell>
          <cell r="H79" t="str">
            <v>Sofía Ruiz</v>
          </cell>
        </row>
        <row r="80">
          <cell r="D80" t="str">
            <v>Papelería</v>
          </cell>
          <cell r="G80">
            <v>385</v>
          </cell>
          <cell r="H80" t="str">
            <v>Sofía Ruiz</v>
          </cell>
        </row>
        <row r="81">
          <cell r="D81" t="str">
            <v>Mobiliario</v>
          </cell>
          <cell r="G81">
            <v>6650</v>
          </cell>
          <cell r="H81" t="str">
            <v>Lucía Pardo</v>
          </cell>
        </row>
        <row r="82">
          <cell r="D82" t="str">
            <v>Papelería</v>
          </cell>
          <cell r="G82">
            <v>255</v>
          </cell>
          <cell r="H82" t="str">
            <v>Lucía Pardo</v>
          </cell>
        </row>
        <row r="83">
          <cell r="D83"/>
          <cell r="G83">
            <v>122289</v>
          </cell>
          <cell r="H83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421076-0749-724C-BAF7-1FFF74B02963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e14ff02f-9150-4f5a-893e-fbdbc5a55e0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B3B"/>
  </sheetPr>
  <dimension ref="A1:I84"/>
  <sheetViews>
    <sheetView zoomScaleNormal="100" workbookViewId="0">
      <pane ySplit="2" topLeftCell="A44" activePane="bottomLeft" state="frozen"/>
      <selection pane="bottomLeft" activeCell="G46" sqref="G46"/>
    </sheetView>
  </sheetViews>
  <sheetFormatPr baseColWidth="10" defaultColWidth="8.6640625" defaultRowHeight="15" x14ac:dyDescent="0.2"/>
  <cols>
    <col min="1" max="1" width="5" customWidth="1"/>
    <col min="2" max="2" width="12" customWidth="1"/>
    <col min="3" max="3" width="22" customWidth="1"/>
    <col min="4" max="4" width="14" customWidth="1"/>
    <col min="5" max="5" width="10" customWidth="1"/>
    <col min="6" max="6" width="16" customWidth="1"/>
    <col min="7" max="7" width="14" customWidth="1"/>
    <col min="8" max="8" width="15" customWidth="1"/>
    <col min="9" max="9" width="10" customWidth="1"/>
  </cols>
  <sheetData>
    <row r="1" spans="1:9" ht="27.75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9" ht="21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8</v>
      </c>
      <c r="I2" s="1" t="s">
        <v>9</v>
      </c>
    </row>
    <row r="3" spans="1:9" ht="15" customHeight="1" x14ac:dyDescent="0.2">
      <c r="A3" s="2">
        <v>1</v>
      </c>
      <c r="B3" s="2" t="s">
        <v>10</v>
      </c>
      <c r="C3" s="2" t="s">
        <v>11</v>
      </c>
      <c r="D3" s="2" t="s">
        <v>12</v>
      </c>
      <c r="E3" s="2">
        <v>9</v>
      </c>
      <c r="F3" s="3">
        <v>350</v>
      </c>
      <c r="G3" s="3">
        <f t="shared" ref="G3:G34" si="0">E3*F3</f>
        <v>3150</v>
      </c>
      <c r="H3" s="2" t="s">
        <v>13</v>
      </c>
      <c r="I3" s="2" t="s">
        <v>14</v>
      </c>
    </row>
    <row r="4" spans="1:9" ht="15" customHeight="1" x14ac:dyDescent="0.2">
      <c r="A4" s="4">
        <v>2</v>
      </c>
      <c r="B4" s="4" t="s">
        <v>15</v>
      </c>
      <c r="C4" s="4" t="s">
        <v>11</v>
      </c>
      <c r="D4" s="4" t="s">
        <v>12</v>
      </c>
      <c r="E4" s="4">
        <v>18</v>
      </c>
      <c r="F4" s="5">
        <v>180</v>
      </c>
      <c r="G4" s="5">
        <f t="shared" si="0"/>
        <v>3240</v>
      </c>
      <c r="H4" s="4" t="s">
        <v>16</v>
      </c>
      <c r="I4" s="4" t="s">
        <v>17</v>
      </c>
    </row>
    <row r="5" spans="1:9" ht="15" customHeight="1" x14ac:dyDescent="0.2">
      <c r="A5" s="2">
        <v>3</v>
      </c>
      <c r="B5" s="2" t="s">
        <v>10</v>
      </c>
      <c r="C5" s="2" t="s">
        <v>18</v>
      </c>
      <c r="D5" s="2" t="s">
        <v>12</v>
      </c>
      <c r="E5" s="2">
        <v>3</v>
      </c>
      <c r="F5" s="3">
        <v>350</v>
      </c>
      <c r="G5" s="3">
        <f t="shared" si="0"/>
        <v>1050</v>
      </c>
      <c r="H5" s="2" t="s">
        <v>13</v>
      </c>
      <c r="I5" s="2" t="s">
        <v>19</v>
      </c>
    </row>
    <row r="6" spans="1:9" ht="15" customHeight="1" x14ac:dyDescent="0.2">
      <c r="A6" s="4">
        <v>4</v>
      </c>
      <c r="B6" s="4" t="s">
        <v>10</v>
      </c>
      <c r="C6" s="4" t="s">
        <v>20</v>
      </c>
      <c r="D6" s="4" t="s">
        <v>21</v>
      </c>
      <c r="E6" s="4">
        <v>18</v>
      </c>
      <c r="F6" s="5">
        <v>380</v>
      </c>
      <c r="G6" s="5">
        <f t="shared" si="0"/>
        <v>6840</v>
      </c>
      <c r="H6" s="4" t="s">
        <v>16</v>
      </c>
      <c r="I6" s="4" t="s">
        <v>17</v>
      </c>
    </row>
    <row r="7" spans="1:9" ht="15" customHeight="1" x14ac:dyDescent="0.2">
      <c r="A7" s="2">
        <v>5</v>
      </c>
      <c r="B7" s="2" t="s">
        <v>22</v>
      </c>
      <c r="C7" s="2" t="s">
        <v>23</v>
      </c>
      <c r="D7" s="2" t="s">
        <v>21</v>
      </c>
      <c r="E7" s="2">
        <v>19</v>
      </c>
      <c r="F7" s="3">
        <v>520</v>
      </c>
      <c r="G7" s="3">
        <f t="shared" si="0"/>
        <v>9880</v>
      </c>
      <c r="H7" s="2" t="s">
        <v>24</v>
      </c>
      <c r="I7" s="2" t="s">
        <v>14</v>
      </c>
    </row>
    <row r="8" spans="1:9" ht="15" customHeight="1" x14ac:dyDescent="0.2">
      <c r="A8" s="4">
        <v>6</v>
      </c>
      <c r="B8" s="4" t="s">
        <v>25</v>
      </c>
      <c r="C8" s="4" t="s">
        <v>26</v>
      </c>
      <c r="D8" s="4" t="s">
        <v>27</v>
      </c>
      <c r="E8" s="4">
        <v>9</v>
      </c>
      <c r="F8" s="5">
        <v>15</v>
      </c>
      <c r="G8" s="5">
        <f t="shared" si="0"/>
        <v>135</v>
      </c>
      <c r="H8" s="4" t="s">
        <v>13</v>
      </c>
      <c r="I8" s="4" t="s">
        <v>28</v>
      </c>
    </row>
    <row r="9" spans="1:9" ht="15" customHeight="1" x14ac:dyDescent="0.2">
      <c r="A9" s="2">
        <v>7</v>
      </c>
      <c r="B9" s="2" t="s">
        <v>29</v>
      </c>
      <c r="C9" s="2" t="s">
        <v>11</v>
      </c>
      <c r="D9" s="2" t="s">
        <v>12</v>
      </c>
      <c r="E9" s="2">
        <v>13</v>
      </c>
      <c r="F9" s="3">
        <v>180</v>
      </c>
      <c r="G9" s="3">
        <f t="shared" si="0"/>
        <v>2340</v>
      </c>
      <c r="H9" s="2" t="s">
        <v>30</v>
      </c>
      <c r="I9" s="2" t="s">
        <v>28</v>
      </c>
    </row>
    <row r="10" spans="1:9" ht="15" customHeight="1" x14ac:dyDescent="0.2">
      <c r="A10" s="4">
        <v>8</v>
      </c>
      <c r="B10" s="4" t="s">
        <v>31</v>
      </c>
      <c r="C10" s="4" t="s">
        <v>20</v>
      </c>
      <c r="D10" s="4" t="s">
        <v>21</v>
      </c>
      <c r="E10" s="4">
        <v>2</v>
      </c>
      <c r="F10" s="5">
        <v>95</v>
      </c>
      <c r="G10" s="5">
        <f t="shared" si="0"/>
        <v>190</v>
      </c>
      <c r="H10" s="4" t="s">
        <v>16</v>
      </c>
      <c r="I10" s="4" t="s">
        <v>19</v>
      </c>
    </row>
    <row r="11" spans="1:9" ht="15" customHeight="1" x14ac:dyDescent="0.2">
      <c r="A11" s="2">
        <v>9</v>
      </c>
      <c r="B11" s="2" t="s">
        <v>29</v>
      </c>
      <c r="C11" s="2" t="s">
        <v>26</v>
      </c>
      <c r="D11" s="2" t="s">
        <v>27</v>
      </c>
      <c r="E11" s="2">
        <v>18</v>
      </c>
      <c r="F11" s="3">
        <v>22</v>
      </c>
      <c r="G11" s="3">
        <f t="shared" si="0"/>
        <v>396</v>
      </c>
      <c r="H11" s="2" t="s">
        <v>16</v>
      </c>
      <c r="I11" s="2" t="s">
        <v>28</v>
      </c>
    </row>
    <row r="12" spans="1:9" ht="15" customHeight="1" x14ac:dyDescent="0.2">
      <c r="A12" s="4">
        <v>10</v>
      </c>
      <c r="B12" s="4" t="s">
        <v>32</v>
      </c>
      <c r="C12" s="4" t="s">
        <v>20</v>
      </c>
      <c r="D12" s="4" t="s">
        <v>21</v>
      </c>
      <c r="E12" s="4">
        <v>3</v>
      </c>
      <c r="F12" s="5">
        <v>250</v>
      </c>
      <c r="G12" s="5">
        <f t="shared" si="0"/>
        <v>750</v>
      </c>
      <c r="H12" s="4" t="s">
        <v>13</v>
      </c>
      <c r="I12" s="4" t="s">
        <v>28</v>
      </c>
    </row>
    <row r="13" spans="1:9" ht="15" customHeight="1" x14ac:dyDescent="0.2">
      <c r="A13" s="2">
        <v>11</v>
      </c>
      <c r="B13" s="2" t="s">
        <v>33</v>
      </c>
      <c r="C13" s="2" t="s">
        <v>11</v>
      </c>
      <c r="D13" s="2" t="s">
        <v>12</v>
      </c>
      <c r="E13" s="2">
        <v>4</v>
      </c>
      <c r="F13" s="3">
        <v>290</v>
      </c>
      <c r="G13" s="3">
        <f t="shared" si="0"/>
        <v>1160</v>
      </c>
      <c r="H13" s="2" t="s">
        <v>30</v>
      </c>
      <c r="I13" s="2" t="s">
        <v>17</v>
      </c>
    </row>
    <row r="14" spans="1:9" ht="15" customHeight="1" x14ac:dyDescent="0.2">
      <c r="A14" s="4">
        <v>12</v>
      </c>
      <c r="B14" s="4" t="s">
        <v>34</v>
      </c>
      <c r="C14" s="4" t="s">
        <v>35</v>
      </c>
      <c r="D14" s="4" t="s">
        <v>27</v>
      </c>
      <c r="E14" s="4">
        <v>12</v>
      </c>
      <c r="F14" s="5">
        <v>22</v>
      </c>
      <c r="G14" s="5">
        <f t="shared" si="0"/>
        <v>264</v>
      </c>
      <c r="H14" s="4" t="s">
        <v>13</v>
      </c>
      <c r="I14" s="4" t="s">
        <v>14</v>
      </c>
    </row>
    <row r="15" spans="1:9" ht="15" customHeight="1" x14ac:dyDescent="0.2">
      <c r="A15" s="2">
        <v>13</v>
      </c>
      <c r="B15" s="2" t="s">
        <v>36</v>
      </c>
      <c r="C15" s="2" t="s">
        <v>37</v>
      </c>
      <c r="D15" s="2" t="s">
        <v>21</v>
      </c>
      <c r="E15" s="2">
        <v>3</v>
      </c>
      <c r="F15" s="3">
        <v>45</v>
      </c>
      <c r="G15" s="3">
        <f t="shared" si="0"/>
        <v>135</v>
      </c>
      <c r="H15" s="2" t="s">
        <v>13</v>
      </c>
      <c r="I15" s="2" t="s">
        <v>19</v>
      </c>
    </row>
    <row r="16" spans="1:9" ht="15" customHeight="1" x14ac:dyDescent="0.2">
      <c r="A16" s="4">
        <v>14</v>
      </c>
      <c r="B16" s="4" t="s">
        <v>34</v>
      </c>
      <c r="C16" s="4" t="s">
        <v>23</v>
      </c>
      <c r="D16" s="4" t="s">
        <v>21</v>
      </c>
      <c r="E16" s="4">
        <v>15</v>
      </c>
      <c r="F16" s="5">
        <v>95</v>
      </c>
      <c r="G16" s="5">
        <f t="shared" si="0"/>
        <v>1425</v>
      </c>
      <c r="H16" s="4" t="s">
        <v>30</v>
      </c>
      <c r="I16" s="4" t="s">
        <v>14</v>
      </c>
    </row>
    <row r="17" spans="1:9" ht="15" customHeight="1" x14ac:dyDescent="0.2">
      <c r="A17" s="2">
        <v>15</v>
      </c>
      <c r="B17" s="2" t="s">
        <v>33</v>
      </c>
      <c r="C17" s="2" t="s">
        <v>38</v>
      </c>
      <c r="D17" s="2" t="s">
        <v>12</v>
      </c>
      <c r="E17" s="2">
        <v>11</v>
      </c>
      <c r="F17" s="3">
        <v>180</v>
      </c>
      <c r="G17" s="3">
        <f t="shared" si="0"/>
        <v>1980</v>
      </c>
      <c r="H17" s="2" t="s">
        <v>13</v>
      </c>
      <c r="I17" s="2" t="s">
        <v>19</v>
      </c>
    </row>
    <row r="18" spans="1:9" ht="15" customHeight="1" x14ac:dyDescent="0.2">
      <c r="A18" s="4">
        <v>16</v>
      </c>
      <c r="B18" s="4" t="s">
        <v>39</v>
      </c>
      <c r="C18" s="4" t="s">
        <v>35</v>
      </c>
      <c r="D18" s="4" t="s">
        <v>27</v>
      </c>
      <c r="E18" s="4">
        <v>9</v>
      </c>
      <c r="F18" s="5">
        <v>8</v>
      </c>
      <c r="G18" s="5">
        <f t="shared" si="0"/>
        <v>72</v>
      </c>
      <c r="H18" s="4" t="s">
        <v>13</v>
      </c>
      <c r="I18" s="4" t="s">
        <v>19</v>
      </c>
    </row>
    <row r="19" spans="1:9" ht="15" customHeight="1" x14ac:dyDescent="0.2">
      <c r="A19" s="2">
        <v>17</v>
      </c>
      <c r="B19" s="2" t="s">
        <v>40</v>
      </c>
      <c r="C19" s="2" t="s">
        <v>35</v>
      </c>
      <c r="D19" s="2" t="s">
        <v>27</v>
      </c>
      <c r="E19" s="2">
        <v>16</v>
      </c>
      <c r="F19" s="3">
        <v>35</v>
      </c>
      <c r="G19" s="3">
        <f t="shared" si="0"/>
        <v>560</v>
      </c>
      <c r="H19" s="2" t="s">
        <v>41</v>
      </c>
      <c r="I19" s="2" t="s">
        <v>14</v>
      </c>
    </row>
    <row r="20" spans="1:9" ht="15" customHeight="1" x14ac:dyDescent="0.2">
      <c r="A20" s="4">
        <v>18</v>
      </c>
      <c r="B20" s="4" t="s">
        <v>42</v>
      </c>
      <c r="C20" s="4" t="s">
        <v>37</v>
      </c>
      <c r="D20" s="4" t="s">
        <v>21</v>
      </c>
      <c r="E20" s="4">
        <v>8</v>
      </c>
      <c r="F20" s="5">
        <v>45</v>
      </c>
      <c r="G20" s="5">
        <f t="shared" si="0"/>
        <v>360</v>
      </c>
      <c r="H20" s="4" t="s">
        <v>16</v>
      </c>
      <c r="I20" s="4" t="s">
        <v>28</v>
      </c>
    </row>
    <row r="21" spans="1:9" ht="15" customHeight="1" x14ac:dyDescent="0.2">
      <c r="A21" s="2">
        <v>19</v>
      </c>
      <c r="B21" s="2" t="s">
        <v>43</v>
      </c>
      <c r="C21" s="2" t="s">
        <v>20</v>
      </c>
      <c r="D21" s="2" t="s">
        <v>21</v>
      </c>
      <c r="E21" s="2">
        <v>19</v>
      </c>
      <c r="F21" s="3">
        <v>95</v>
      </c>
      <c r="G21" s="3">
        <f t="shared" si="0"/>
        <v>1805</v>
      </c>
      <c r="H21" s="2" t="s">
        <v>30</v>
      </c>
      <c r="I21" s="2" t="s">
        <v>14</v>
      </c>
    </row>
    <row r="22" spans="1:9" ht="15" customHeight="1" x14ac:dyDescent="0.2">
      <c r="A22" s="4">
        <v>20</v>
      </c>
      <c r="B22" s="4" t="s">
        <v>44</v>
      </c>
      <c r="C22" s="4" t="s">
        <v>45</v>
      </c>
      <c r="D22" s="4" t="s">
        <v>21</v>
      </c>
      <c r="E22" s="4">
        <v>16</v>
      </c>
      <c r="F22" s="5">
        <v>250</v>
      </c>
      <c r="G22" s="5">
        <f t="shared" si="0"/>
        <v>4000</v>
      </c>
      <c r="H22" s="4" t="s">
        <v>24</v>
      </c>
      <c r="I22" s="4" t="s">
        <v>19</v>
      </c>
    </row>
    <row r="23" spans="1:9" ht="15" customHeight="1" x14ac:dyDescent="0.2">
      <c r="A23" s="2">
        <v>21</v>
      </c>
      <c r="B23" s="2" t="s">
        <v>46</v>
      </c>
      <c r="C23" s="2" t="s">
        <v>45</v>
      </c>
      <c r="D23" s="2" t="s">
        <v>21</v>
      </c>
      <c r="E23" s="2">
        <v>6</v>
      </c>
      <c r="F23" s="3">
        <v>95</v>
      </c>
      <c r="G23" s="3">
        <f t="shared" si="0"/>
        <v>570</v>
      </c>
      <c r="H23" s="2" t="s">
        <v>16</v>
      </c>
      <c r="I23" s="2" t="s">
        <v>19</v>
      </c>
    </row>
    <row r="24" spans="1:9" ht="15" customHeight="1" x14ac:dyDescent="0.2">
      <c r="A24" s="4">
        <v>22</v>
      </c>
      <c r="B24" s="4" t="s">
        <v>47</v>
      </c>
      <c r="C24" s="4" t="s">
        <v>26</v>
      </c>
      <c r="D24" s="4" t="s">
        <v>27</v>
      </c>
      <c r="E24" s="4">
        <v>20</v>
      </c>
      <c r="F24" s="5">
        <v>35</v>
      </c>
      <c r="G24" s="5">
        <f t="shared" si="0"/>
        <v>700</v>
      </c>
      <c r="H24" s="4" t="s">
        <v>16</v>
      </c>
      <c r="I24" s="4" t="s">
        <v>28</v>
      </c>
    </row>
    <row r="25" spans="1:9" ht="15" customHeight="1" x14ac:dyDescent="0.2">
      <c r="A25" s="2">
        <v>23</v>
      </c>
      <c r="B25" s="2" t="s">
        <v>48</v>
      </c>
      <c r="C25" s="2" t="s">
        <v>38</v>
      </c>
      <c r="D25" s="2" t="s">
        <v>12</v>
      </c>
      <c r="E25" s="2">
        <v>4</v>
      </c>
      <c r="F25" s="3">
        <v>420</v>
      </c>
      <c r="G25" s="3">
        <f t="shared" si="0"/>
        <v>1680</v>
      </c>
      <c r="H25" s="2" t="s">
        <v>30</v>
      </c>
      <c r="I25" s="2" t="s">
        <v>19</v>
      </c>
    </row>
    <row r="26" spans="1:9" ht="15" customHeight="1" x14ac:dyDescent="0.2">
      <c r="A26" s="4">
        <v>24</v>
      </c>
      <c r="B26" s="4" t="s">
        <v>43</v>
      </c>
      <c r="C26" s="4" t="s">
        <v>37</v>
      </c>
      <c r="D26" s="4" t="s">
        <v>21</v>
      </c>
      <c r="E26" s="4">
        <v>6</v>
      </c>
      <c r="F26" s="5">
        <v>95</v>
      </c>
      <c r="G26" s="5">
        <f t="shared" si="0"/>
        <v>570</v>
      </c>
      <c r="H26" s="4" t="s">
        <v>24</v>
      </c>
      <c r="I26" s="4" t="s">
        <v>14</v>
      </c>
    </row>
    <row r="27" spans="1:9" ht="15" customHeight="1" x14ac:dyDescent="0.2">
      <c r="A27" s="2">
        <v>25</v>
      </c>
      <c r="B27" s="2" t="s">
        <v>44</v>
      </c>
      <c r="C27" s="2" t="s">
        <v>37</v>
      </c>
      <c r="D27" s="2" t="s">
        <v>21</v>
      </c>
      <c r="E27" s="2">
        <v>6</v>
      </c>
      <c r="F27" s="3">
        <v>45</v>
      </c>
      <c r="G27" s="3">
        <f t="shared" si="0"/>
        <v>270</v>
      </c>
      <c r="H27" s="2" t="s">
        <v>24</v>
      </c>
      <c r="I27" s="2" t="s">
        <v>14</v>
      </c>
    </row>
    <row r="28" spans="1:9" ht="15" customHeight="1" x14ac:dyDescent="0.2">
      <c r="A28" s="4">
        <v>26</v>
      </c>
      <c r="B28" s="4" t="s">
        <v>46</v>
      </c>
      <c r="C28" s="4" t="s">
        <v>37</v>
      </c>
      <c r="D28" s="4" t="s">
        <v>21</v>
      </c>
      <c r="E28" s="4">
        <v>17</v>
      </c>
      <c r="F28" s="5">
        <v>45</v>
      </c>
      <c r="G28" s="5">
        <f t="shared" si="0"/>
        <v>765</v>
      </c>
      <c r="H28" s="4" t="s">
        <v>13</v>
      </c>
      <c r="I28" s="4" t="s">
        <v>14</v>
      </c>
    </row>
    <row r="29" spans="1:9" ht="15" customHeight="1" x14ac:dyDescent="0.2">
      <c r="A29" s="2">
        <v>27</v>
      </c>
      <c r="B29" s="2" t="s">
        <v>34</v>
      </c>
      <c r="C29" s="2" t="s">
        <v>35</v>
      </c>
      <c r="D29" s="2" t="s">
        <v>27</v>
      </c>
      <c r="E29" s="2">
        <v>18</v>
      </c>
      <c r="F29" s="3">
        <v>8</v>
      </c>
      <c r="G29" s="3">
        <f t="shared" si="0"/>
        <v>144</v>
      </c>
      <c r="H29" s="2" t="s">
        <v>16</v>
      </c>
      <c r="I29" s="2" t="s">
        <v>28</v>
      </c>
    </row>
    <row r="30" spans="1:9" ht="15" customHeight="1" x14ac:dyDescent="0.2">
      <c r="A30" s="4">
        <v>28</v>
      </c>
      <c r="B30" s="4" t="s">
        <v>10</v>
      </c>
      <c r="C30" s="4" t="s">
        <v>49</v>
      </c>
      <c r="D30" s="4" t="s">
        <v>27</v>
      </c>
      <c r="E30" s="4">
        <v>4</v>
      </c>
      <c r="F30" s="5">
        <v>22</v>
      </c>
      <c r="G30" s="5">
        <f t="shared" si="0"/>
        <v>88</v>
      </c>
      <c r="H30" s="4" t="s">
        <v>30</v>
      </c>
      <c r="I30" s="4" t="s">
        <v>14</v>
      </c>
    </row>
    <row r="31" spans="1:9" ht="15" customHeight="1" x14ac:dyDescent="0.2">
      <c r="A31" s="2">
        <v>29</v>
      </c>
      <c r="B31" s="2" t="s">
        <v>50</v>
      </c>
      <c r="C31" s="2" t="s">
        <v>18</v>
      </c>
      <c r="D31" s="2" t="s">
        <v>12</v>
      </c>
      <c r="E31" s="2">
        <v>19</v>
      </c>
      <c r="F31" s="3">
        <v>180</v>
      </c>
      <c r="G31" s="3">
        <f t="shared" si="0"/>
        <v>3420</v>
      </c>
      <c r="H31" s="2" t="s">
        <v>24</v>
      </c>
      <c r="I31" s="2" t="s">
        <v>14</v>
      </c>
    </row>
    <row r="32" spans="1:9" ht="15" customHeight="1" x14ac:dyDescent="0.2">
      <c r="A32" s="4">
        <v>30</v>
      </c>
      <c r="B32" s="4" t="s">
        <v>51</v>
      </c>
      <c r="C32" s="4" t="s">
        <v>49</v>
      </c>
      <c r="D32" s="4" t="s">
        <v>27</v>
      </c>
      <c r="E32" s="4">
        <v>18</v>
      </c>
      <c r="F32" s="5">
        <v>15</v>
      </c>
      <c r="G32" s="5">
        <f t="shared" si="0"/>
        <v>270</v>
      </c>
      <c r="H32" s="4" t="s">
        <v>13</v>
      </c>
      <c r="I32" s="4" t="s">
        <v>14</v>
      </c>
    </row>
    <row r="33" spans="1:9" ht="15" customHeight="1" x14ac:dyDescent="0.2">
      <c r="A33" s="2">
        <v>31</v>
      </c>
      <c r="B33" s="2" t="s">
        <v>52</v>
      </c>
      <c r="C33" s="2" t="s">
        <v>49</v>
      </c>
      <c r="D33" s="2" t="s">
        <v>27</v>
      </c>
      <c r="E33" s="2">
        <v>6</v>
      </c>
      <c r="F33" s="3">
        <v>22</v>
      </c>
      <c r="G33" s="3">
        <f t="shared" si="0"/>
        <v>132</v>
      </c>
      <c r="H33" s="2" t="s">
        <v>16</v>
      </c>
      <c r="I33" s="2" t="s">
        <v>19</v>
      </c>
    </row>
    <row r="34" spans="1:9" ht="15" customHeight="1" x14ac:dyDescent="0.2">
      <c r="A34" s="4">
        <v>32</v>
      </c>
      <c r="B34" s="4" t="s">
        <v>40</v>
      </c>
      <c r="C34" s="4" t="s">
        <v>26</v>
      </c>
      <c r="D34" s="4" t="s">
        <v>27</v>
      </c>
      <c r="E34" s="4">
        <v>18</v>
      </c>
      <c r="F34" s="5">
        <v>15</v>
      </c>
      <c r="G34" s="5">
        <f t="shared" si="0"/>
        <v>270</v>
      </c>
      <c r="H34" s="4" t="s">
        <v>30</v>
      </c>
      <c r="I34" s="4" t="s">
        <v>17</v>
      </c>
    </row>
    <row r="35" spans="1:9" ht="15" customHeight="1" x14ac:dyDescent="0.2">
      <c r="A35" s="2">
        <v>33</v>
      </c>
      <c r="B35" s="2" t="s">
        <v>22</v>
      </c>
      <c r="C35" s="2" t="s">
        <v>35</v>
      </c>
      <c r="D35" s="2" t="s">
        <v>27</v>
      </c>
      <c r="E35" s="2">
        <v>17</v>
      </c>
      <c r="F35" s="3">
        <v>35</v>
      </c>
      <c r="G35" s="3">
        <f t="shared" ref="G35:G66" si="1">E35*F35</f>
        <v>595</v>
      </c>
      <c r="H35" s="2" t="s">
        <v>24</v>
      </c>
      <c r="I35" s="2" t="s">
        <v>14</v>
      </c>
    </row>
    <row r="36" spans="1:9" ht="15" customHeight="1" x14ac:dyDescent="0.2">
      <c r="A36" s="4">
        <v>34</v>
      </c>
      <c r="B36" s="4" t="s">
        <v>51</v>
      </c>
      <c r="C36" s="4" t="s">
        <v>23</v>
      </c>
      <c r="D36" s="4" t="s">
        <v>21</v>
      </c>
      <c r="E36" s="4">
        <v>11</v>
      </c>
      <c r="F36" s="5">
        <v>250</v>
      </c>
      <c r="G36" s="5">
        <f t="shared" si="1"/>
        <v>2750</v>
      </c>
      <c r="H36" s="4" t="s">
        <v>16</v>
      </c>
      <c r="I36" s="4" t="s">
        <v>19</v>
      </c>
    </row>
    <row r="37" spans="1:9" ht="15" customHeight="1" x14ac:dyDescent="0.2">
      <c r="A37" s="2">
        <v>35</v>
      </c>
      <c r="B37" s="2" t="s">
        <v>53</v>
      </c>
      <c r="C37" s="2" t="s">
        <v>23</v>
      </c>
      <c r="D37" s="2" t="s">
        <v>21</v>
      </c>
      <c r="E37" s="2">
        <v>8</v>
      </c>
      <c r="F37" s="3">
        <v>250</v>
      </c>
      <c r="G37" s="3">
        <f t="shared" si="1"/>
        <v>2000</v>
      </c>
      <c r="H37" s="2" t="s">
        <v>24</v>
      </c>
      <c r="I37" s="2" t="s">
        <v>14</v>
      </c>
    </row>
    <row r="38" spans="1:9" ht="15" customHeight="1" x14ac:dyDescent="0.2">
      <c r="A38" s="4">
        <v>36</v>
      </c>
      <c r="B38" s="4" t="s">
        <v>33</v>
      </c>
      <c r="C38" s="4" t="s">
        <v>18</v>
      </c>
      <c r="D38" s="4" t="s">
        <v>12</v>
      </c>
      <c r="E38" s="4">
        <v>3</v>
      </c>
      <c r="F38" s="5">
        <v>180</v>
      </c>
      <c r="G38" s="5">
        <f t="shared" si="1"/>
        <v>540</v>
      </c>
      <c r="H38" s="4" t="s">
        <v>30</v>
      </c>
      <c r="I38" s="4" t="s">
        <v>19</v>
      </c>
    </row>
    <row r="39" spans="1:9" ht="15" customHeight="1" x14ac:dyDescent="0.2">
      <c r="A39" s="2">
        <v>37</v>
      </c>
      <c r="B39" s="2" t="s">
        <v>50</v>
      </c>
      <c r="C39" s="2" t="s">
        <v>38</v>
      </c>
      <c r="D39" s="2" t="s">
        <v>12</v>
      </c>
      <c r="E39" s="2">
        <v>9</v>
      </c>
      <c r="F39" s="3">
        <v>290</v>
      </c>
      <c r="G39" s="3">
        <f t="shared" si="1"/>
        <v>2610</v>
      </c>
      <c r="H39" s="2" t="s">
        <v>13</v>
      </c>
      <c r="I39" s="2" t="s">
        <v>19</v>
      </c>
    </row>
    <row r="40" spans="1:9" ht="15" customHeight="1" x14ac:dyDescent="0.2">
      <c r="A40" s="4">
        <v>38</v>
      </c>
      <c r="B40" s="4" t="s">
        <v>54</v>
      </c>
      <c r="C40" s="4" t="s">
        <v>45</v>
      </c>
      <c r="D40" s="4" t="s">
        <v>21</v>
      </c>
      <c r="E40" s="4">
        <v>19</v>
      </c>
      <c r="F40" s="5">
        <v>45</v>
      </c>
      <c r="G40" s="5">
        <f t="shared" si="1"/>
        <v>855</v>
      </c>
      <c r="H40" s="4" t="s">
        <v>41</v>
      </c>
      <c r="I40" s="4" t="s">
        <v>14</v>
      </c>
    </row>
    <row r="41" spans="1:9" ht="15" customHeight="1" x14ac:dyDescent="0.2">
      <c r="A41" s="2">
        <v>39</v>
      </c>
      <c r="B41" s="2" t="s">
        <v>55</v>
      </c>
      <c r="C41" s="2" t="s">
        <v>49</v>
      </c>
      <c r="D41" s="2" t="s">
        <v>27</v>
      </c>
      <c r="E41" s="2">
        <v>7</v>
      </c>
      <c r="F41" s="3">
        <v>8</v>
      </c>
      <c r="G41" s="3">
        <f t="shared" si="1"/>
        <v>56</v>
      </c>
      <c r="H41" s="2" t="s">
        <v>24</v>
      </c>
      <c r="I41" s="2" t="s">
        <v>14</v>
      </c>
    </row>
    <row r="42" spans="1:9" ht="15" customHeight="1" x14ac:dyDescent="0.2">
      <c r="A42" s="4">
        <v>40</v>
      </c>
      <c r="B42" s="4" t="s">
        <v>56</v>
      </c>
      <c r="C42" s="4" t="s">
        <v>26</v>
      </c>
      <c r="D42" s="4" t="s">
        <v>27</v>
      </c>
      <c r="E42" s="4">
        <v>14</v>
      </c>
      <c r="F42" s="5">
        <v>35</v>
      </c>
      <c r="G42" s="5">
        <f t="shared" si="1"/>
        <v>490</v>
      </c>
      <c r="H42" s="4" t="s">
        <v>41</v>
      </c>
      <c r="I42" s="4" t="s">
        <v>14</v>
      </c>
    </row>
    <row r="43" spans="1:9" ht="15" customHeight="1" x14ac:dyDescent="0.2">
      <c r="A43" s="2">
        <v>41</v>
      </c>
      <c r="B43" s="2" t="s">
        <v>15</v>
      </c>
      <c r="C43" s="2" t="s">
        <v>18</v>
      </c>
      <c r="D43" s="2" t="s">
        <v>12</v>
      </c>
      <c r="E43" s="2">
        <v>4</v>
      </c>
      <c r="F43" s="3">
        <v>180</v>
      </c>
      <c r="G43" s="3">
        <f t="shared" si="1"/>
        <v>720</v>
      </c>
      <c r="H43" s="2" t="s">
        <v>41</v>
      </c>
      <c r="I43" s="2" t="s">
        <v>14</v>
      </c>
    </row>
    <row r="44" spans="1:9" ht="15" customHeight="1" x14ac:dyDescent="0.2">
      <c r="A44" s="4">
        <v>42</v>
      </c>
      <c r="B44" s="4" t="s">
        <v>57</v>
      </c>
      <c r="C44" s="4" t="s">
        <v>35</v>
      </c>
      <c r="D44" s="4" t="s">
        <v>27</v>
      </c>
      <c r="E44" s="4">
        <v>8</v>
      </c>
      <c r="F44" s="5">
        <v>15</v>
      </c>
      <c r="G44" s="5">
        <f t="shared" si="1"/>
        <v>120</v>
      </c>
      <c r="H44" s="4" t="s">
        <v>13</v>
      </c>
      <c r="I44" s="4" t="s">
        <v>19</v>
      </c>
    </row>
    <row r="45" spans="1:9" ht="15" customHeight="1" x14ac:dyDescent="0.2">
      <c r="A45" s="2">
        <v>43</v>
      </c>
      <c r="B45" s="2" t="s">
        <v>42</v>
      </c>
      <c r="C45" s="2" t="s">
        <v>49</v>
      </c>
      <c r="D45" s="2" t="s">
        <v>27</v>
      </c>
      <c r="E45" s="2">
        <v>14</v>
      </c>
      <c r="F45" s="3">
        <v>15</v>
      </c>
      <c r="G45" s="3">
        <f t="shared" si="1"/>
        <v>210</v>
      </c>
      <c r="H45" s="2" t="s">
        <v>30</v>
      </c>
      <c r="I45" s="2" t="s">
        <v>17</v>
      </c>
    </row>
    <row r="46" spans="1:9" ht="15" customHeight="1" x14ac:dyDescent="0.2">
      <c r="A46" s="4">
        <v>44</v>
      </c>
      <c r="B46" s="4" t="s">
        <v>51</v>
      </c>
      <c r="C46" s="4" t="s">
        <v>23</v>
      </c>
      <c r="D46" s="4" t="s">
        <v>21</v>
      </c>
      <c r="E46" s="4">
        <v>15</v>
      </c>
      <c r="F46" s="5">
        <v>45</v>
      </c>
      <c r="G46" s="5">
        <f t="shared" si="1"/>
        <v>675</v>
      </c>
      <c r="H46" s="4" t="s">
        <v>24</v>
      </c>
      <c r="I46" s="4" t="s">
        <v>19</v>
      </c>
    </row>
    <row r="47" spans="1:9" ht="15" customHeight="1" x14ac:dyDescent="0.2">
      <c r="A47" s="2">
        <v>45</v>
      </c>
      <c r="B47" s="2" t="s">
        <v>48</v>
      </c>
      <c r="C47" s="2" t="s">
        <v>38</v>
      </c>
      <c r="D47" s="2" t="s">
        <v>12</v>
      </c>
      <c r="E47" s="2">
        <v>3</v>
      </c>
      <c r="F47" s="3">
        <v>350</v>
      </c>
      <c r="G47" s="3">
        <f t="shared" si="1"/>
        <v>1050</v>
      </c>
      <c r="H47" s="2" t="s">
        <v>13</v>
      </c>
      <c r="I47" s="2" t="s">
        <v>17</v>
      </c>
    </row>
    <row r="48" spans="1:9" ht="15" customHeight="1" x14ac:dyDescent="0.2">
      <c r="A48" s="4">
        <v>46</v>
      </c>
      <c r="B48" s="4" t="s">
        <v>58</v>
      </c>
      <c r="C48" s="4" t="s">
        <v>49</v>
      </c>
      <c r="D48" s="4" t="s">
        <v>27</v>
      </c>
      <c r="E48" s="4">
        <v>7</v>
      </c>
      <c r="F48" s="5">
        <v>35</v>
      </c>
      <c r="G48" s="5">
        <f t="shared" si="1"/>
        <v>245</v>
      </c>
      <c r="H48" s="4" t="s">
        <v>24</v>
      </c>
      <c r="I48" s="4" t="s">
        <v>14</v>
      </c>
    </row>
    <row r="49" spans="1:9" ht="15" customHeight="1" x14ac:dyDescent="0.2">
      <c r="A49" s="2">
        <v>47</v>
      </c>
      <c r="B49" s="2" t="s">
        <v>48</v>
      </c>
      <c r="C49" s="2" t="s">
        <v>26</v>
      </c>
      <c r="D49" s="2" t="s">
        <v>27</v>
      </c>
      <c r="E49" s="2">
        <v>13</v>
      </c>
      <c r="F49" s="3">
        <v>22</v>
      </c>
      <c r="G49" s="3">
        <f t="shared" si="1"/>
        <v>286</v>
      </c>
      <c r="H49" s="2" t="s">
        <v>41</v>
      </c>
      <c r="I49" s="2" t="s">
        <v>28</v>
      </c>
    </row>
    <row r="50" spans="1:9" ht="15" customHeight="1" x14ac:dyDescent="0.2">
      <c r="A50" s="4">
        <v>48</v>
      </c>
      <c r="B50" s="4" t="s">
        <v>36</v>
      </c>
      <c r="C50" s="4" t="s">
        <v>26</v>
      </c>
      <c r="D50" s="4" t="s">
        <v>27</v>
      </c>
      <c r="E50" s="4">
        <v>18</v>
      </c>
      <c r="F50" s="5">
        <v>35</v>
      </c>
      <c r="G50" s="5">
        <f t="shared" si="1"/>
        <v>630</v>
      </c>
      <c r="H50" s="4" t="s">
        <v>13</v>
      </c>
      <c r="I50" s="4" t="s">
        <v>14</v>
      </c>
    </row>
    <row r="51" spans="1:9" ht="15" customHeight="1" x14ac:dyDescent="0.2">
      <c r="A51" s="2">
        <v>49</v>
      </c>
      <c r="B51" s="2" t="s">
        <v>40</v>
      </c>
      <c r="C51" s="2" t="s">
        <v>37</v>
      </c>
      <c r="D51" s="2" t="s">
        <v>21</v>
      </c>
      <c r="E51" s="2">
        <v>2</v>
      </c>
      <c r="F51" s="3">
        <v>45</v>
      </c>
      <c r="G51" s="3">
        <f t="shared" si="1"/>
        <v>90</v>
      </c>
      <c r="H51" s="2" t="s">
        <v>16</v>
      </c>
      <c r="I51" s="2" t="s">
        <v>19</v>
      </c>
    </row>
    <row r="52" spans="1:9" ht="15" customHeight="1" x14ac:dyDescent="0.2">
      <c r="A52" s="4">
        <v>50</v>
      </c>
      <c r="B52" s="4" t="s">
        <v>59</v>
      </c>
      <c r="C52" s="4" t="s">
        <v>35</v>
      </c>
      <c r="D52" s="4" t="s">
        <v>27</v>
      </c>
      <c r="E52" s="4">
        <v>2</v>
      </c>
      <c r="F52" s="5">
        <v>35</v>
      </c>
      <c r="G52" s="5">
        <f t="shared" si="1"/>
        <v>70</v>
      </c>
      <c r="H52" s="4" t="s">
        <v>16</v>
      </c>
      <c r="I52" s="4" t="s">
        <v>19</v>
      </c>
    </row>
    <row r="53" spans="1:9" ht="15" customHeight="1" x14ac:dyDescent="0.2">
      <c r="A53" s="2">
        <v>51</v>
      </c>
      <c r="B53" s="2" t="s">
        <v>59</v>
      </c>
      <c r="C53" s="2" t="s">
        <v>45</v>
      </c>
      <c r="D53" s="2" t="s">
        <v>21</v>
      </c>
      <c r="E53" s="2">
        <v>17</v>
      </c>
      <c r="F53" s="3">
        <v>250</v>
      </c>
      <c r="G53" s="3">
        <f t="shared" si="1"/>
        <v>4250</v>
      </c>
      <c r="H53" s="2" t="s">
        <v>13</v>
      </c>
      <c r="I53" s="2" t="s">
        <v>19</v>
      </c>
    </row>
    <row r="54" spans="1:9" ht="15" customHeight="1" x14ac:dyDescent="0.2">
      <c r="A54" s="4">
        <v>52</v>
      </c>
      <c r="B54" s="4" t="s">
        <v>51</v>
      </c>
      <c r="C54" s="4" t="s">
        <v>20</v>
      </c>
      <c r="D54" s="4" t="s">
        <v>21</v>
      </c>
      <c r="E54" s="4">
        <v>8</v>
      </c>
      <c r="F54" s="5">
        <v>95</v>
      </c>
      <c r="G54" s="5">
        <f t="shared" si="1"/>
        <v>760</v>
      </c>
      <c r="H54" s="4" t="s">
        <v>24</v>
      </c>
      <c r="I54" s="4" t="s">
        <v>19</v>
      </c>
    </row>
    <row r="55" spans="1:9" ht="15" customHeight="1" x14ac:dyDescent="0.2">
      <c r="A55" s="2">
        <v>53</v>
      </c>
      <c r="B55" s="2" t="s">
        <v>53</v>
      </c>
      <c r="C55" s="2" t="s">
        <v>23</v>
      </c>
      <c r="D55" s="2" t="s">
        <v>21</v>
      </c>
      <c r="E55" s="2">
        <v>20</v>
      </c>
      <c r="F55" s="3">
        <v>250</v>
      </c>
      <c r="G55" s="3">
        <f t="shared" si="1"/>
        <v>5000</v>
      </c>
      <c r="H55" s="2" t="s">
        <v>16</v>
      </c>
      <c r="I55" s="2" t="s">
        <v>19</v>
      </c>
    </row>
    <row r="56" spans="1:9" ht="15" customHeight="1" x14ac:dyDescent="0.2">
      <c r="A56" s="4">
        <v>54</v>
      </c>
      <c r="B56" s="4" t="s">
        <v>60</v>
      </c>
      <c r="C56" s="4" t="s">
        <v>26</v>
      </c>
      <c r="D56" s="4" t="s">
        <v>27</v>
      </c>
      <c r="E56" s="4">
        <v>19</v>
      </c>
      <c r="F56" s="5">
        <v>22</v>
      </c>
      <c r="G56" s="5">
        <f t="shared" si="1"/>
        <v>418</v>
      </c>
      <c r="H56" s="4" t="s">
        <v>30</v>
      </c>
      <c r="I56" s="4" t="s">
        <v>14</v>
      </c>
    </row>
    <row r="57" spans="1:9" ht="15" customHeight="1" x14ac:dyDescent="0.2">
      <c r="A57" s="2">
        <v>55</v>
      </c>
      <c r="B57" s="2" t="s">
        <v>50</v>
      </c>
      <c r="C57" s="2" t="s">
        <v>35</v>
      </c>
      <c r="D57" s="2" t="s">
        <v>27</v>
      </c>
      <c r="E57" s="2">
        <v>9</v>
      </c>
      <c r="F57" s="3">
        <v>35</v>
      </c>
      <c r="G57" s="3">
        <f t="shared" si="1"/>
        <v>315</v>
      </c>
      <c r="H57" s="2" t="s">
        <v>13</v>
      </c>
      <c r="I57" s="2" t="s">
        <v>14</v>
      </c>
    </row>
    <row r="58" spans="1:9" ht="15" customHeight="1" x14ac:dyDescent="0.2">
      <c r="A58" s="4">
        <v>56</v>
      </c>
      <c r="B58" s="4" t="s">
        <v>61</v>
      </c>
      <c r="C58" s="4" t="s">
        <v>37</v>
      </c>
      <c r="D58" s="4" t="s">
        <v>21</v>
      </c>
      <c r="E58" s="4">
        <v>11</v>
      </c>
      <c r="F58" s="5">
        <v>250</v>
      </c>
      <c r="G58" s="5">
        <f t="shared" si="1"/>
        <v>2750</v>
      </c>
      <c r="H58" s="4" t="s">
        <v>24</v>
      </c>
      <c r="I58" s="4" t="s">
        <v>17</v>
      </c>
    </row>
    <row r="59" spans="1:9" ht="15" customHeight="1" x14ac:dyDescent="0.2">
      <c r="A59" s="2">
        <v>57</v>
      </c>
      <c r="B59" s="2" t="s">
        <v>62</v>
      </c>
      <c r="C59" s="2" t="s">
        <v>20</v>
      </c>
      <c r="D59" s="2" t="s">
        <v>21</v>
      </c>
      <c r="E59" s="2">
        <v>4</v>
      </c>
      <c r="F59" s="3">
        <v>250</v>
      </c>
      <c r="G59" s="3">
        <f t="shared" si="1"/>
        <v>1000</v>
      </c>
      <c r="H59" s="2" t="s">
        <v>16</v>
      </c>
      <c r="I59" s="2" t="s">
        <v>14</v>
      </c>
    </row>
    <row r="60" spans="1:9" ht="15" customHeight="1" x14ac:dyDescent="0.2">
      <c r="A60" s="4">
        <v>58</v>
      </c>
      <c r="B60" s="4" t="s">
        <v>31</v>
      </c>
      <c r="C60" s="4" t="s">
        <v>38</v>
      </c>
      <c r="D60" s="4" t="s">
        <v>12</v>
      </c>
      <c r="E60" s="4">
        <v>5</v>
      </c>
      <c r="F60" s="5">
        <v>420</v>
      </c>
      <c r="G60" s="5">
        <f t="shared" si="1"/>
        <v>2100</v>
      </c>
      <c r="H60" s="4" t="s">
        <v>24</v>
      </c>
      <c r="I60" s="4" t="s">
        <v>14</v>
      </c>
    </row>
    <row r="61" spans="1:9" ht="15" customHeight="1" x14ac:dyDescent="0.2">
      <c r="A61" s="2">
        <v>59</v>
      </c>
      <c r="B61" s="2" t="s">
        <v>63</v>
      </c>
      <c r="C61" s="2" t="s">
        <v>35</v>
      </c>
      <c r="D61" s="2" t="s">
        <v>27</v>
      </c>
      <c r="E61" s="2">
        <v>6</v>
      </c>
      <c r="F61" s="3">
        <v>35</v>
      </c>
      <c r="G61" s="3">
        <f t="shared" si="1"/>
        <v>210</v>
      </c>
      <c r="H61" s="2" t="s">
        <v>16</v>
      </c>
      <c r="I61" s="2" t="s">
        <v>14</v>
      </c>
    </row>
    <row r="62" spans="1:9" ht="15" customHeight="1" x14ac:dyDescent="0.2">
      <c r="A62" s="4">
        <v>60</v>
      </c>
      <c r="B62" s="4" t="s">
        <v>64</v>
      </c>
      <c r="C62" s="4" t="s">
        <v>37</v>
      </c>
      <c r="D62" s="4" t="s">
        <v>21</v>
      </c>
      <c r="E62" s="4">
        <v>17</v>
      </c>
      <c r="F62" s="5">
        <v>250</v>
      </c>
      <c r="G62" s="5">
        <f t="shared" si="1"/>
        <v>4250</v>
      </c>
      <c r="H62" s="4" t="s">
        <v>16</v>
      </c>
      <c r="I62" s="4" t="s">
        <v>28</v>
      </c>
    </row>
    <row r="63" spans="1:9" ht="15" customHeight="1" x14ac:dyDescent="0.2">
      <c r="A63" s="2">
        <v>61</v>
      </c>
      <c r="B63" s="2" t="s">
        <v>42</v>
      </c>
      <c r="C63" s="2" t="s">
        <v>11</v>
      </c>
      <c r="D63" s="2" t="s">
        <v>12</v>
      </c>
      <c r="E63" s="2">
        <v>9</v>
      </c>
      <c r="F63" s="3">
        <v>180</v>
      </c>
      <c r="G63" s="3">
        <f t="shared" si="1"/>
        <v>1620</v>
      </c>
      <c r="H63" s="2" t="s">
        <v>24</v>
      </c>
      <c r="I63" s="2" t="s">
        <v>14</v>
      </c>
    </row>
    <row r="64" spans="1:9" ht="15" customHeight="1" x14ac:dyDescent="0.2">
      <c r="A64" s="4">
        <v>62</v>
      </c>
      <c r="B64" s="4" t="s">
        <v>65</v>
      </c>
      <c r="C64" s="4" t="s">
        <v>38</v>
      </c>
      <c r="D64" s="4" t="s">
        <v>12</v>
      </c>
      <c r="E64" s="4">
        <v>9</v>
      </c>
      <c r="F64" s="5">
        <v>420</v>
      </c>
      <c r="G64" s="5">
        <f t="shared" si="1"/>
        <v>3780</v>
      </c>
      <c r="H64" s="4" t="s">
        <v>16</v>
      </c>
      <c r="I64" s="4" t="s">
        <v>14</v>
      </c>
    </row>
    <row r="65" spans="1:9" ht="15" customHeight="1" x14ac:dyDescent="0.2">
      <c r="A65" s="2">
        <v>63</v>
      </c>
      <c r="B65" s="2" t="s">
        <v>40</v>
      </c>
      <c r="C65" s="2" t="s">
        <v>35</v>
      </c>
      <c r="D65" s="2" t="s">
        <v>27</v>
      </c>
      <c r="E65" s="2">
        <v>9</v>
      </c>
      <c r="F65" s="3">
        <v>35</v>
      </c>
      <c r="G65" s="3">
        <f t="shared" si="1"/>
        <v>315</v>
      </c>
      <c r="H65" s="2" t="s">
        <v>30</v>
      </c>
      <c r="I65" s="2" t="s">
        <v>19</v>
      </c>
    </row>
    <row r="66" spans="1:9" ht="15" customHeight="1" x14ac:dyDescent="0.2">
      <c r="A66" s="4">
        <v>64</v>
      </c>
      <c r="B66" s="4" t="s">
        <v>46</v>
      </c>
      <c r="C66" s="4" t="s">
        <v>11</v>
      </c>
      <c r="D66" s="4" t="s">
        <v>12</v>
      </c>
      <c r="E66" s="4">
        <v>14</v>
      </c>
      <c r="F66" s="5">
        <v>420</v>
      </c>
      <c r="G66" s="5">
        <f t="shared" si="1"/>
        <v>5880</v>
      </c>
      <c r="H66" s="4" t="s">
        <v>24</v>
      </c>
      <c r="I66" s="4" t="s">
        <v>19</v>
      </c>
    </row>
    <row r="67" spans="1:9" ht="15" customHeight="1" x14ac:dyDescent="0.2">
      <c r="A67" s="2">
        <v>65</v>
      </c>
      <c r="B67" s="2" t="s">
        <v>42</v>
      </c>
      <c r="C67" s="2" t="s">
        <v>35</v>
      </c>
      <c r="D67" s="2" t="s">
        <v>27</v>
      </c>
      <c r="E67" s="2">
        <v>9</v>
      </c>
      <c r="F67" s="3">
        <v>15</v>
      </c>
      <c r="G67" s="3">
        <f t="shared" ref="G67:G82" si="2">E67*F67</f>
        <v>135</v>
      </c>
      <c r="H67" s="2" t="s">
        <v>41</v>
      </c>
      <c r="I67" s="2" t="s">
        <v>19</v>
      </c>
    </row>
    <row r="68" spans="1:9" ht="15" customHeight="1" x14ac:dyDescent="0.2">
      <c r="A68" s="4">
        <v>66</v>
      </c>
      <c r="B68" s="4" t="s">
        <v>52</v>
      </c>
      <c r="C68" s="4" t="s">
        <v>26</v>
      </c>
      <c r="D68" s="4" t="s">
        <v>27</v>
      </c>
      <c r="E68" s="4">
        <v>1</v>
      </c>
      <c r="F68" s="5">
        <v>8</v>
      </c>
      <c r="G68" s="5">
        <f t="shared" si="2"/>
        <v>8</v>
      </c>
      <c r="H68" s="4" t="s">
        <v>24</v>
      </c>
      <c r="I68" s="4" t="s">
        <v>14</v>
      </c>
    </row>
    <row r="69" spans="1:9" ht="15" customHeight="1" x14ac:dyDescent="0.2">
      <c r="A69" s="2">
        <v>67</v>
      </c>
      <c r="B69" s="2" t="s">
        <v>66</v>
      </c>
      <c r="C69" s="2" t="s">
        <v>45</v>
      </c>
      <c r="D69" s="2" t="s">
        <v>21</v>
      </c>
      <c r="E69" s="2">
        <v>2</v>
      </c>
      <c r="F69" s="3">
        <v>520</v>
      </c>
      <c r="G69" s="3">
        <f t="shared" si="2"/>
        <v>1040</v>
      </c>
      <c r="H69" s="2" t="s">
        <v>16</v>
      </c>
      <c r="I69" s="2" t="s">
        <v>19</v>
      </c>
    </row>
    <row r="70" spans="1:9" ht="15" customHeight="1" x14ac:dyDescent="0.2">
      <c r="A70" s="4">
        <v>68</v>
      </c>
      <c r="B70" s="4" t="s">
        <v>43</v>
      </c>
      <c r="C70" s="4" t="s">
        <v>45</v>
      </c>
      <c r="D70" s="4" t="s">
        <v>21</v>
      </c>
      <c r="E70" s="4">
        <v>5</v>
      </c>
      <c r="F70" s="5">
        <v>250</v>
      </c>
      <c r="G70" s="5">
        <f t="shared" si="2"/>
        <v>1250</v>
      </c>
      <c r="H70" s="4" t="s">
        <v>30</v>
      </c>
      <c r="I70" s="4" t="s">
        <v>28</v>
      </c>
    </row>
    <row r="71" spans="1:9" ht="15" customHeight="1" x14ac:dyDescent="0.2">
      <c r="A71" s="2">
        <v>69</v>
      </c>
      <c r="B71" s="2" t="s">
        <v>56</v>
      </c>
      <c r="C71" s="2" t="s">
        <v>18</v>
      </c>
      <c r="D71" s="2" t="s">
        <v>12</v>
      </c>
      <c r="E71" s="2">
        <v>7</v>
      </c>
      <c r="F71" s="3">
        <v>350</v>
      </c>
      <c r="G71" s="3">
        <f t="shared" si="2"/>
        <v>2450</v>
      </c>
      <c r="H71" s="2" t="s">
        <v>24</v>
      </c>
      <c r="I71" s="2" t="s">
        <v>28</v>
      </c>
    </row>
    <row r="72" spans="1:9" ht="15" customHeight="1" x14ac:dyDescent="0.2">
      <c r="A72" s="4">
        <v>70</v>
      </c>
      <c r="B72" s="4" t="s">
        <v>55</v>
      </c>
      <c r="C72" s="4" t="s">
        <v>38</v>
      </c>
      <c r="D72" s="4" t="s">
        <v>12</v>
      </c>
      <c r="E72" s="4">
        <v>20</v>
      </c>
      <c r="F72" s="5">
        <v>350</v>
      </c>
      <c r="G72" s="5">
        <f t="shared" si="2"/>
        <v>7000</v>
      </c>
      <c r="H72" s="4" t="s">
        <v>13</v>
      </c>
      <c r="I72" s="4" t="s">
        <v>14</v>
      </c>
    </row>
    <row r="73" spans="1:9" ht="15" customHeight="1" x14ac:dyDescent="0.2">
      <c r="A73" s="2">
        <v>71</v>
      </c>
      <c r="B73" s="2" t="s">
        <v>55</v>
      </c>
      <c r="C73" s="2" t="s">
        <v>45</v>
      </c>
      <c r="D73" s="2" t="s">
        <v>21</v>
      </c>
      <c r="E73" s="2">
        <v>1</v>
      </c>
      <c r="F73" s="3">
        <v>380</v>
      </c>
      <c r="G73" s="3">
        <f t="shared" si="2"/>
        <v>380</v>
      </c>
      <c r="H73" s="2" t="s">
        <v>30</v>
      </c>
      <c r="I73" s="2" t="s">
        <v>17</v>
      </c>
    </row>
    <row r="74" spans="1:9" ht="15" customHeight="1" x14ac:dyDescent="0.2">
      <c r="A74" s="4">
        <v>72</v>
      </c>
      <c r="B74" s="4" t="s">
        <v>67</v>
      </c>
      <c r="C74" s="4" t="s">
        <v>23</v>
      </c>
      <c r="D74" s="4" t="s">
        <v>21</v>
      </c>
      <c r="E74" s="4">
        <v>6</v>
      </c>
      <c r="F74" s="5">
        <v>250</v>
      </c>
      <c r="G74" s="5">
        <f t="shared" si="2"/>
        <v>1500</v>
      </c>
      <c r="H74" s="4" t="s">
        <v>41</v>
      </c>
      <c r="I74" s="4" t="s">
        <v>19</v>
      </c>
    </row>
    <row r="75" spans="1:9" ht="15" customHeight="1" x14ac:dyDescent="0.2">
      <c r="A75" s="2">
        <v>73</v>
      </c>
      <c r="B75" s="2" t="s">
        <v>33</v>
      </c>
      <c r="C75" s="2" t="s">
        <v>49</v>
      </c>
      <c r="D75" s="2" t="s">
        <v>27</v>
      </c>
      <c r="E75" s="2">
        <v>7</v>
      </c>
      <c r="F75" s="3">
        <v>35</v>
      </c>
      <c r="G75" s="3">
        <f t="shared" si="2"/>
        <v>245</v>
      </c>
      <c r="H75" s="2" t="s">
        <v>30</v>
      </c>
      <c r="I75" s="2" t="s">
        <v>28</v>
      </c>
    </row>
    <row r="76" spans="1:9" ht="15" customHeight="1" x14ac:dyDescent="0.2">
      <c r="A76" s="4">
        <v>74</v>
      </c>
      <c r="B76" s="4" t="s">
        <v>33</v>
      </c>
      <c r="C76" s="4" t="s">
        <v>23</v>
      </c>
      <c r="D76" s="4" t="s">
        <v>21</v>
      </c>
      <c r="E76" s="4">
        <v>1</v>
      </c>
      <c r="F76" s="5">
        <v>380</v>
      </c>
      <c r="G76" s="5">
        <f t="shared" si="2"/>
        <v>380</v>
      </c>
      <c r="H76" s="4" t="s">
        <v>41</v>
      </c>
      <c r="I76" s="4" t="s">
        <v>28</v>
      </c>
    </row>
    <row r="77" spans="1:9" ht="15" customHeight="1" x14ac:dyDescent="0.2">
      <c r="A77" s="2">
        <v>75</v>
      </c>
      <c r="B77" s="2" t="s">
        <v>51</v>
      </c>
      <c r="C77" s="2" t="s">
        <v>37</v>
      </c>
      <c r="D77" s="2" t="s">
        <v>21</v>
      </c>
      <c r="E77" s="2">
        <v>9</v>
      </c>
      <c r="F77" s="3">
        <v>520</v>
      </c>
      <c r="G77" s="3">
        <f t="shared" si="2"/>
        <v>4680</v>
      </c>
      <c r="H77" s="2" t="s">
        <v>16</v>
      </c>
      <c r="I77" s="2" t="s">
        <v>17</v>
      </c>
    </row>
    <row r="78" spans="1:9" ht="15" customHeight="1" x14ac:dyDescent="0.2">
      <c r="A78" s="4">
        <v>76</v>
      </c>
      <c r="B78" s="4" t="s">
        <v>25</v>
      </c>
      <c r="C78" s="4" t="s">
        <v>38</v>
      </c>
      <c r="D78" s="4" t="s">
        <v>12</v>
      </c>
      <c r="E78" s="4">
        <v>1</v>
      </c>
      <c r="F78" s="5">
        <v>180</v>
      </c>
      <c r="G78" s="5">
        <f t="shared" si="2"/>
        <v>180</v>
      </c>
      <c r="H78" s="4" t="s">
        <v>30</v>
      </c>
      <c r="I78" s="4" t="s">
        <v>14</v>
      </c>
    </row>
    <row r="79" spans="1:9" ht="15" customHeight="1" x14ac:dyDescent="0.2">
      <c r="A79" s="2">
        <v>77</v>
      </c>
      <c r="B79" s="2" t="s">
        <v>31</v>
      </c>
      <c r="C79" s="2" t="s">
        <v>20</v>
      </c>
      <c r="D79" s="2" t="s">
        <v>21</v>
      </c>
      <c r="E79" s="2">
        <v>2</v>
      </c>
      <c r="F79" s="3">
        <v>250</v>
      </c>
      <c r="G79" s="3">
        <f t="shared" si="2"/>
        <v>500</v>
      </c>
      <c r="H79" s="2" t="s">
        <v>16</v>
      </c>
      <c r="I79" s="2" t="s">
        <v>17</v>
      </c>
    </row>
    <row r="80" spans="1:9" ht="15" customHeight="1" x14ac:dyDescent="0.2">
      <c r="A80" s="4">
        <v>78</v>
      </c>
      <c r="B80" s="4" t="s">
        <v>54</v>
      </c>
      <c r="C80" s="4" t="s">
        <v>35</v>
      </c>
      <c r="D80" s="4" t="s">
        <v>27</v>
      </c>
      <c r="E80" s="4">
        <v>11</v>
      </c>
      <c r="F80" s="5">
        <v>35</v>
      </c>
      <c r="G80" s="5">
        <f t="shared" si="2"/>
        <v>385</v>
      </c>
      <c r="H80" s="4" t="s">
        <v>16</v>
      </c>
      <c r="I80" s="4" t="s">
        <v>19</v>
      </c>
    </row>
    <row r="81" spans="1:9" ht="15" customHeight="1" x14ac:dyDescent="0.2">
      <c r="A81" s="2">
        <v>79</v>
      </c>
      <c r="B81" s="2" t="s">
        <v>47</v>
      </c>
      <c r="C81" s="2" t="s">
        <v>11</v>
      </c>
      <c r="D81" s="2" t="s">
        <v>12</v>
      </c>
      <c r="E81" s="2">
        <v>19</v>
      </c>
      <c r="F81" s="3">
        <v>350</v>
      </c>
      <c r="G81" s="3">
        <f t="shared" si="2"/>
        <v>6650</v>
      </c>
      <c r="H81" s="2" t="s">
        <v>30</v>
      </c>
      <c r="I81" s="2" t="s">
        <v>19</v>
      </c>
    </row>
    <row r="82" spans="1:9" ht="15" customHeight="1" x14ac:dyDescent="0.2">
      <c r="A82" s="4">
        <v>80</v>
      </c>
      <c r="B82" s="4" t="s">
        <v>48</v>
      </c>
      <c r="C82" s="4" t="s">
        <v>26</v>
      </c>
      <c r="D82" s="4" t="s">
        <v>27</v>
      </c>
      <c r="E82" s="4">
        <v>17</v>
      </c>
      <c r="F82" s="5">
        <v>15</v>
      </c>
      <c r="G82" s="5">
        <f t="shared" si="2"/>
        <v>255</v>
      </c>
      <c r="H82" s="4" t="s">
        <v>30</v>
      </c>
      <c r="I82" s="4" t="s">
        <v>17</v>
      </c>
    </row>
    <row r="83" spans="1:9" ht="15" customHeight="1" x14ac:dyDescent="0.2">
      <c r="A83" s="6" t="s">
        <v>68</v>
      </c>
      <c r="B83" s="6"/>
      <c r="C83" s="6"/>
      <c r="D83" s="6"/>
      <c r="E83" s="6"/>
      <c r="F83" s="6"/>
      <c r="G83" s="7">
        <f>SUM(G3:G82)</f>
        <v>122289</v>
      </c>
      <c r="H83" s="6"/>
      <c r="I83" s="6"/>
    </row>
    <row r="84" spans="1:9" x14ac:dyDescent="0.2">
      <c r="A84" s="28"/>
      <c r="B84" s="28"/>
      <c r="C84" s="29"/>
      <c r="D84" s="28"/>
      <c r="E84" s="29"/>
      <c r="F84" s="28"/>
      <c r="G84" s="29"/>
      <c r="H84" s="28"/>
      <c r="I84" s="29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5100"/>
  </sheetPr>
  <dimension ref="A1:G51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5" customWidth="1"/>
    <col min="2" max="2" width="12" customWidth="1"/>
    <col min="3" max="3" width="14" customWidth="1"/>
    <col min="4" max="4" width="30" customWidth="1"/>
    <col min="5" max="5" width="20" customWidth="1"/>
    <col min="6" max="6" width="14" customWidth="1"/>
    <col min="7" max="7" width="12" customWidth="1"/>
  </cols>
  <sheetData>
    <row r="1" spans="1:7" ht="27.75" customHeight="1" x14ac:dyDescent="0.2">
      <c r="A1" s="70" t="s">
        <v>69</v>
      </c>
      <c r="B1" s="70"/>
      <c r="C1" s="70"/>
      <c r="D1" s="70"/>
      <c r="E1" s="70"/>
      <c r="F1" s="70"/>
      <c r="G1" s="70"/>
    </row>
    <row r="2" spans="1:7" ht="21.75" customHeight="1" x14ac:dyDescent="0.2">
      <c r="A2" s="8" t="s">
        <v>1</v>
      </c>
      <c r="B2" s="8" t="s">
        <v>70</v>
      </c>
      <c r="C2" s="8" t="s">
        <v>4</v>
      </c>
      <c r="D2" s="8" t="s">
        <v>71</v>
      </c>
      <c r="E2" s="8" t="s">
        <v>72</v>
      </c>
      <c r="F2" s="8" t="s">
        <v>73</v>
      </c>
      <c r="G2" s="8" t="s">
        <v>74</v>
      </c>
    </row>
    <row r="3" spans="1:7" ht="15" customHeight="1" x14ac:dyDescent="0.2">
      <c r="A3" s="2">
        <v>1</v>
      </c>
      <c r="B3" s="2" t="s">
        <v>75</v>
      </c>
      <c r="C3" s="2" t="s">
        <v>76</v>
      </c>
      <c r="D3" s="2" t="s">
        <v>77</v>
      </c>
      <c r="E3" s="2" t="s">
        <v>78</v>
      </c>
      <c r="F3" s="3">
        <v>3734</v>
      </c>
      <c r="G3" s="9" t="s">
        <v>79</v>
      </c>
    </row>
    <row r="4" spans="1:7" ht="15" customHeight="1" x14ac:dyDescent="0.2">
      <c r="A4" s="4">
        <v>2</v>
      </c>
      <c r="B4" s="4" t="s">
        <v>75</v>
      </c>
      <c r="C4" s="4" t="s">
        <v>80</v>
      </c>
      <c r="D4" s="4" t="s">
        <v>81</v>
      </c>
      <c r="E4" s="4" t="s">
        <v>82</v>
      </c>
      <c r="F4" s="5">
        <v>4889</v>
      </c>
      <c r="G4" s="9" t="s">
        <v>79</v>
      </c>
    </row>
    <row r="5" spans="1:7" ht="15" customHeight="1" x14ac:dyDescent="0.2">
      <c r="A5" s="2">
        <v>3</v>
      </c>
      <c r="B5" s="2" t="s">
        <v>75</v>
      </c>
      <c r="C5" s="2" t="s">
        <v>76</v>
      </c>
      <c r="D5" s="2" t="s">
        <v>77</v>
      </c>
      <c r="E5" s="2" t="s">
        <v>83</v>
      </c>
      <c r="F5" s="3">
        <v>975</v>
      </c>
      <c r="G5" s="9" t="s">
        <v>79</v>
      </c>
    </row>
    <row r="6" spans="1:7" ht="15" customHeight="1" x14ac:dyDescent="0.2">
      <c r="A6" s="4">
        <v>4</v>
      </c>
      <c r="B6" s="4" t="s">
        <v>75</v>
      </c>
      <c r="C6" s="4" t="s">
        <v>80</v>
      </c>
      <c r="D6" s="4" t="s">
        <v>81</v>
      </c>
      <c r="E6" s="4" t="s">
        <v>84</v>
      </c>
      <c r="F6" s="5">
        <v>4052</v>
      </c>
      <c r="G6" s="10" t="s">
        <v>85</v>
      </c>
    </row>
    <row r="7" spans="1:7" ht="15" customHeight="1" x14ac:dyDescent="0.2">
      <c r="A7" s="2">
        <v>5</v>
      </c>
      <c r="B7" s="2" t="s">
        <v>86</v>
      </c>
      <c r="C7" s="2" t="s">
        <v>80</v>
      </c>
      <c r="D7" s="2" t="s">
        <v>87</v>
      </c>
      <c r="E7" s="2" t="s">
        <v>78</v>
      </c>
      <c r="F7" s="3">
        <v>1243</v>
      </c>
      <c r="G7" s="10" t="s">
        <v>85</v>
      </c>
    </row>
    <row r="8" spans="1:7" ht="15" customHeight="1" x14ac:dyDescent="0.2">
      <c r="A8" s="4">
        <v>6</v>
      </c>
      <c r="B8" s="4" t="s">
        <v>86</v>
      </c>
      <c r="C8" s="4" t="s">
        <v>80</v>
      </c>
      <c r="D8" s="4" t="s">
        <v>87</v>
      </c>
      <c r="E8" s="4" t="s">
        <v>82</v>
      </c>
      <c r="F8" s="5">
        <v>5132</v>
      </c>
      <c r="G8" s="9" t="s">
        <v>79</v>
      </c>
    </row>
    <row r="9" spans="1:7" ht="15" customHeight="1" x14ac:dyDescent="0.2">
      <c r="A9" s="2">
        <v>7</v>
      </c>
      <c r="B9" s="2" t="s">
        <v>86</v>
      </c>
      <c r="C9" s="2" t="s">
        <v>88</v>
      </c>
      <c r="D9" s="2" t="s">
        <v>89</v>
      </c>
      <c r="E9" s="2" t="s">
        <v>90</v>
      </c>
      <c r="F9" s="3">
        <v>5639</v>
      </c>
      <c r="G9" s="9" t="s">
        <v>79</v>
      </c>
    </row>
    <row r="10" spans="1:7" ht="15" customHeight="1" x14ac:dyDescent="0.2">
      <c r="A10" s="4">
        <v>8</v>
      </c>
      <c r="B10" s="4" t="s">
        <v>86</v>
      </c>
      <c r="C10" s="4" t="s">
        <v>91</v>
      </c>
      <c r="D10" s="4" t="s">
        <v>92</v>
      </c>
      <c r="E10" s="4" t="s">
        <v>83</v>
      </c>
      <c r="F10" s="5">
        <v>3749</v>
      </c>
      <c r="G10" s="9" t="s">
        <v>79</v>
      </c>
    </row>
    <row r="11" spans="1:7" ht="15" customHeight="1" x14ac:dyDescent="0.2">
      <c r="A11" s="2">
        <v>9</v>
      </c>
      <c r="B11" s="2" t="s">
        <v>93</v>
      </c>
      <c r="C11" s="2" t="s">
        <v>88</v>
      </c>
      <c r="D11" s="2" t="s">
        <v>94</v>
      </c>
      <c r="E11" s="2" t="s">
        <v>84</v>
      </c>
      <c r="F11" s="3">
        <v>5060</v>
      </c>
      <c r="G11" s="9" t="s">
        <v>79</v>
      </c>
    </row>
    <row r="12" spans="1:7" ht="15" customHeight="1" x14ac:dyDescent="0.2">
      <c r="A12" s="4">
        <v>10</v>
      </c>
      <c r="B12" s="4" t="s">
        <v>93</v>
      </c>
      <c r="C12" s="4" t="s">
        <v>76</v>
      </c>
      <c r="D12" s="4" t="s">
        <v>95</v>
      </c>
      <c r="E12" s="4" t="s">
        <v>96</v>
      </c>
      <c r="F12" s="5">
        <v>1681</v>
      </c>
      <c r="G12" s="9" t="s">
        <v>79</v>
      </c>
    </row>
    <row r="13" spans="1:7" ht="15" customHeight="1" x14ac:dyDescent="0.2">
      <c r="A13" s="2">
        <v>11</v>
      </c>
      <c r="B13" s="2" t="s">
        <v>93</v>
      </c>
      <c r="C13" s="2" t="s">
        <v>91</v>
      </c>
      <c r="D13" s="2" t="s">
        <v>97</v>
      </c>
      <c r="E13" s="2" t="s">
        <v>98</v>
      </c>
      <c r="F13" s="3">
        <v>5089</v>
      </c>
      <c r="G13" s="9" t="s">
        <v>79</v>
      </c>
    </row>
    <row r="14" spans="1:7" ht="15" customHeight="1" x14ac:dyDescent="0.2">
      <c r="A14" s="4">
        <v>12</v>
      </c>
      <c r="B14" s="4" t="s">
        <v>93</v>
      </c>
      <c r="C14" s="4" t="s">
        <v>80</v>
      </c>
      <c r="D14" s="4" t="s">
        <v>99</v>
      </c>
      <c r="E14" s="4" t="s">
        <v>83</v>
      </c>
      <c r="F14" s="5">
        <v>5179</v>
      </c>
      <c r="G14" s="9" t="s">
        <v>79</v>
      </c>
    </row>
    <row r="15" spans="1:7" ht="15" customHeight="1" x14ac:dyDescent="0.2">
      <c r="A15" s="2">
        <v>13</v>
      </c>
      <c r="B15" s="2" t="s">
        <v>100</v>
      </c>
      <c r="C15" s="2" t="s">
        <v>76</v>
      </c>
      <c r="D15" s="2" t="s">
        <v>101</v>
      </c>
      <c r="E15" s="2" t="s">
        <v>84</v>
      </c>
      <c r="F15" s="3">
        <v>4987</v>
      </c>
      <c r="G15" s="9" t="s">
        <v>79</v>
      </c>
    </row>
    <row r="16" spans="1:7" ht="15" customHeight="1" x14ac:dyDescent="0.2">
      <c r="A16" s="4">
        <v>14</v>
      </c>
      <c r="B16" s="4" t="s">
        <v>100</v>
      </c>
      <c r="C16" s="4" t="s">
        <v>91</v>
      </c>
      <c r="D16" s="4" t="s">
        <v>102</v>
      </c>
      <c r="E16" s="4" t="s">
        <v>84</v>
      </c>
      <c r="F16" s="5">
        <v>5570</v>
      </c>
      <c r="G16" s="9" t="s">
        <v>79</v>
      </c>
    </row>
    <row r="17" spans="1:7" ht="15" customHeight="1" x14ac:dyDescent="0.2">
      <c r="A17" s="2">
        <v>15</v>
      </c>
      <c r="B17" s="2" t="s">
        <v>100</v>
      </c>
      <c r="C17" s="2" t="s">
        <v>103</v>
      </c>
      <c r="D17" s="2" t="s">
        <v>104</v>
      </c>
      <c r="E17" s="2" t="s">
        <v>90</v>
      </c>
      <c r="F17" s="3">
        <v>4855</v>
      </c>
      <c r="G17" s="10" t="s">
        <v>85</v>
      </c>
    </row>
    <row r="18" spans="1:7" ht="15" customHeight="1" x14ac:dyDescent="0.2">
      <c r="A18" s="4">
        <v>16</v>
      </c>
      <c r="B18" s="4" t="s">
        <v>100</v>
      </c>
      <c r="C18" s="4" t="s">
        <v>27</v>
      </c>
      <c r="D18" s="4" t="s">
        <v>105</v>
      </c>
      <c r="E18" s="4" t="s">
        <v>98</v>
      </c>
      <c r="F18" s="5">
        <v>4314</v>
      </c>
      <c r="G18" s="10" t="s">
        <v>85</v>
      </c>
    </row>
    <row r="19" spans="1:7" ht="15" customHeight="1" x14ac:dyDescent="0.2">
      <c r="A19" s="2">
        <v>17</v>
      </c>
      <c r="B19" s="2" t="s">
        <v>106</v>
      </c>
      <c r="C19" s="2" t="s">
        <v>76</v>
      </c>
      <c r="D19" s="2" t="s">
        <v>107</v>
      </c>
      <c r="E19" s="2" t="s">
        <v>98</v>
      </c>
      <c r="F19" s="3">
        <v>2535</v>
      </c>
      <c r="G19" s="9" t="s">
        <v>79</v>
      </c>
    </row>
    <row r="20" spans="1:7" ht="15" customHeight="1" x14ac:dyDescent="0.2">
      <c r="A20" s="4">
        <v>18</v>
      </c>
      <c r="B20" s="4" t="s">
        <v>106</v>
      </c>
      <c r="C20" s="4" t="s">
        <v>21</v>
      </c>
      <c r="D20" s="4" t="s">
        <v>108</v>
      </c>
      <c r="E20" s="4" t="s">
        <v>82</v>
      </c>
      <c r="F20" s="5">
        <v>2499</v>
      </c>
      <c r="G20" s="9" t="s">
        <v>79</v>
      </c>
    </row>
    <row r="21" spans="1:7" ht="15" customHeight="1" x14ac:dyDescent="0.2">
      <c r="A21" s="2">
        <v>19</v>
      </c>
      <c r="B21" s="2" t="s">
        <v>106</v>
      </c>
      <c r="C21" s="2" t="s">
        <v>91</v>
      </c>
      <c r="D21" s="2" t="s">
        <v>109</v>
      </c>
      <c r="E21" s="2" t="s">
        <v>98</v>
      </c>
      <c r="F21" s="3">
        <v>4802</v>
      </c>
      <c r="G21" s="10" t="s">
        <v>85</v>
      </c>
    </row>
    <row r="22" spans="1:7" ht="15" customHeight="1" x14ac:dyDescent="0.2">
      <c r="A22" s="4">
        <v>20</v>
      </c>
      <c r="B22" s="4" t="s">
        <v>106</v>
      </c>
      <c r="C22" s="4" t="s">
        <v>76</v>
      </c>
      <c r="D22" s="4" t="s">
        <v>107</v>
      </c>
      <c r="E22" s="4" t="s">
        <v>90</v>
      </c>
      <c r="F22" s="5">
        <v>4176</v>
      </c>
      <c r="G22" s="9" t="s">
        <v>79</v>
      </c>
    </row>
    <row r="23" spans="1:7" ht="15" customHeight="1" x14ac:dyDescent="0.2">
      <c r="A23" s="2">
        <v>21</v>
      </c>
      <c r="B23" s="2" t="s">
        <v>110</v>
      </c>
      <c r="C23" s="2" t="s">
        <v>91</v>
      </c>
      <c r="D23" s="2" t="s">
        <v>111</v>
      </c>
      <c r="E23" s="2" t="s">
        <v>84</v>
      </c>
      <c r="F23" s="3">
        <v>1467</v>
      </c>
      <c r="G23" s="10" t="s">
        <v>85</v>
      </c>
    </row>
    <row r="24" spans="1:7" ht="15" customHeight="1" x14ac:dyDescent="0.2">
      <c r="A24" s="4">
        <v>22</v>
      </c>
      <c r="B24" s="4" t="s">
        <v>110</v>
      </c>
      <c r="C24" s="4" t="s">
        <v>88</v>
      </c>
      <c r="D24" s="4" t="s">
        <v>112</v>
      </c>
      <c r="E24" s="4" t="s">
        <v>82</v>
      </c>
      <c r="F24" s="5">
        <v>3302</v>
      </c>
      <c r="G24" s="9" t="s">
        <v>79</v>
      </c>
    </row>
    <row r="25" spans="1:7" ht="15" customHeight="1" x14ac:dyDescent="0.2">
      <c r="A25" s="2">
        <v>23</v>
      </c>
      <c r="B25" s="2" t="s">
        <v>110</v>
      </c>
      <c r="C25" s="2" t="s">
        <v>103</v>
      </c>
      <c r="D25" s="2" t="s">
        <v>113</v>
      </c>
      <c r="E25" s="2" t="s">
        <v>96</v>
      </c>
      <c r="F25" s="3">
        <v>821</v>
      </c>
      <c r="G25" s="9" t="s">
        <v>79</v>
      </c>
    </row>
    <row r="26" spans="1:7" ht="15" customHeight="1" x14ac:dyDescent="0.2">
      <c r="A26" s="4">
        <v>24</v>
      </c>
      <c r="B26" s="4" t="s">
        <v>110</v>
      </c>
      <c r="C26" s="4" t="s">
        <v>27</v>
      </c>
      <c r="D26" s="4" t="s">
        <v>114</v>
      </c>
      <c r="E26" s="4" t="s">
        <v>83</v>
      </c>
      <c r="F26" s="5">
        <v>5194</v>
      </c>
      <c r="G26" s="9" t="s">
        <v>79</v>
      </c>
    </row>
    <row r="27" spans="1:7" ht="15" customHeight="1" x14ac:dyDescent="0.2">
      <c r="A27" s="2">
        <v>25</v>
      </c>
      <c r="B27" s="2" t="s">
        <v>115</v>
      </c>
      <c r="C27" s="2" t="s">
        <v>76</v>
      </c>
      <c r="D27" s="2" t="s">
        <v>116</v>
      </c>
      <c r="E27" s="2" t="s">
        <v>90</v>
      </c>
      <c r="F27" s="3">
        <v>3368</v>
      </c>
      <c r="G27" s="10" t="s">
        <v>85</v>
      </c>
    </row>
    <row r="28" spans="1:7" ht="15" customHeight="1" x14ac:dyDescent="0.2">
      <c r="A28" s="4">
        <v>26</v>
      </c>
      <c r="B28" s="4" t="s">
        <v>115</v>
      </c>
      <c r="C28" s="4" t="s">
        <v>91</v>
      </c>
      <c r="D28" s="4" t="s">
        <v>117</v>
      </c>
      <c r="E28" s="4" t="s">
        <v>82</v>
      </c>
      <c r="F28" s="5">
        <v>4237</v>
      </c>
      <c r="G28" s="9" t="s">
        <v>79</v>
      </c>
    </row>
    <row r="29" spans="1:7" ht="15" customHeight="1" x14ac:dyDescent="0.2">
      <c r="A29" s="2">
        <v>27</v>
      </c>
      <c r="B29" s="2" t="s">
        <v>115</v>
      </c>
      <c r="C29" s="2" t="s">
        <v>27</v>
      </c>
      <c r="D29" s="2" t="s">
        <v>118</v>
      </c>
      <c r="E29" s="2" t="s">
        <v>84</v>
      </c>
      <c r="F29" s="3">
        <v>2711</v>
      </c>
      <c r="G29" s="10" t="s">
        <v>85</v>
      </c>
    </row>
    <row r="30" spans="1:7" ht="15" customHeight="1" x14ac:dyDescent="0.2">
      <c r="A30" s="4">
        <v>28</v>
      </c>
      <c r="B30" s="4" t="s">
        <v>115</v>
      </c>
      <c r="C30" s="4" t="s">
        <v>21</v>
      </c>
      <c r="D30" s="4" t="s">
        <v>119</v>
      </c>
      <c r="E30" s="4" t="s">
        <v>90</v>
      </c>
      <c r="F30" s="5">
        <v>1032</v>
      </c>
      <c r="G30" s="9" t="s">
        <v>79</v>
      </c>
    </row>
    <row r="31" spans="1:7" ht="15" customHeight="1" x14ac:dyDescent="0.2">
      <c r="A31" s="2">
        <v>29</v>
      </c>
      <c r="B31" s="2" t="s">
        <v>120</v>
      </c>
      <c r="C31" s="2" t="s">
        <v>21</v>
      </c>
      <c r="D31" s="2" t="s">
        <v>121</v>
      </c>
      <c r="E31" s="2" t="s">
        <v>90</v>
      </c>
      <c r="F31" s="3">
        <v>3036</v>
      </c>
      <c r="G31" s="10" t="s">
        <v>85</v>
      </c>
    </row>
    <row r="32" spans="1:7" ht="15" customHeight="1" x14ac:dyDescent="0.2">
      <c r="A32" s="4">
        <v>30</v>
      </c>
      <c r="B32" s="4" t="s">
        <v>120</v>
      </c>
      <c r="C32" s="4" t="s">
        <v>76</v>
      </c>
      <c r="D32" s="4" t="s">
        <v>122</v>
      </c>
      <c r="E32" s="4" t="s">
        <v>90</v>
      </c>
      <c r="F32" s="5">
        <v>3660</v>
      </c>
      <c r="G32" s="9" t="s">
        <v>79</v>
      </c>
    </row>
    <row r="33" spans="1:7" ht="15" customHeight="1" x14ac:dyDescent="0.2">
      <c r="A33" s="2">
        <v>31</v>
      </c>
      <c r="B33" s="2" t="s">
        <v>120</v>
      </c>
      <c r="C33" s="2" t="s">
        <v>80</v>
      </c>
      <c r="D33" s="2" t="s">
        <v>123</v>
      </c>
      <c r="E33" s="2" t="s">
        <v>96</v>
      </c>
      <c r="F33" s="3">
        <v>3411</v>
      </c>
      <c r="G33" s="9" t="s">
        <v>79</v>
      </c>
    </row>
    <row r="34" spans="1:7" ht="15" customHeight="1" x14ac:dyDescent="0.2">
      <c r="A34" s="4">
        <v>32</v>
      </c>
      <c r="B34" s="4" t="s">
        <v>120</v>
      </c>
      <c r="C34" s="4" t="s">
        <v>91</v>
      </c>
      <c r="D34" s="4" t="s">
        <v>124</v>
      </c>
      <c r="E34" s="4" t="s">
        <v>84</v>
      </c>
      <c r="F34" s="5">
        <v>4544</v>
      </c>
      <c r="G34" s="9" t="s">
        <v>79</v>
      </c>
    </row>
    <row r="35" spans="1:7" ht="15" customHeight="1" x14ac:dyDescent="0.2">
      <c r="A35" s="2">
        <v>33</v>
      </c>
      <c r="B35" s="2" t="s">
        <v>125</v>
      </c>
      <c r="C35" s="2" t="s">
        <v>88</v>
      </c>
      <c r="D35" s="2" t="s">
        <v>126</v>
      </c>
      <c r="E35" s="2" t="s">
        <v>82</v>
      </c>
      <c r="F35" s="3">
        <v>2854</v>
      </c>
      <c r="G35" s="9" t="s">
        <v>79</v>
      </c>
    </row>
    <row r="36" spans="1:7" ht="15" customHeight="1" x14ac:dyDescent="0.2">
      <c r="A36" s="4">
        <v>34</v>
      </c>
      <c r="B36" s="4" t="s">
        <v>125</v>
      </c>
      <c r="C36" s="4" t="s">
        <v>21</v>
      </c>
      <c r="D36" s="4" t="s">
        <v>127</v>
      </c>
      <c r="E36" s="4" t="s">
        <v>78</v>
      </c>
      <c r="F36" s="5">
        <v>3759</v>
      </c>
      <c r="G36" s="10" t="s">
        <v>85</v>
      </c>
    </row>
    <row r="37" spans="1:7" ht="15" customHeight="1" x14ac:dyDescent="0.2">
      <c r="A37" s="2">
        <v>35</v>
      </c>
      <c r="B37" s="2" t="s">
        <v>125</v>
      </c>
      <c r="C37" s="2" t="s">
        <v>27</v>
      </c>
      <c r="D37" s="2" t="s">
        <v>128</v>
      </c>
      <c r="E37" s="2" t="s">
        <v>96</v>
      </c>
      <c r="F37" s="3">
        <v>1160</v>
      </c>
      <c r="G37" s="9" t="s">
        <v>79</v>
      </c>
    </row>
    <row r="38" spans="1:7" ht="15" customHeight="1" x14ac:dyDescent="0.2">
      <c r="A38" s="4">
        <v>36</v>
      </c>
      <c r="B38" s="4" t="s">
        <v>125</v>
      </c>
      <c r="C38" s="4" t="s">
        <v>103</v>
      </c>
      <c r="D38" s="4" t="s">
        <v>129</v>
      </c>
      <c r="E38" s="4" t="s">
        <v>96</v>
      </c>
      <c r="F38" s="5">
        <v>5001</v>
      </c>
      <c r="G38" s="9" t="s">
        <v>79</v>
      </c>
    </row>
    <row r="39" spans="1:7" ht="15" customHeight="1" x14ac:dyDescent="0.2">
      <c r="A39" s="2">
        <v>37</v>
      </c>
      <c r="B39" s="2" t="s">
        <v>130</v>
      </c>
      <c r="C39" s="2" t="s">
        <v>88</v>
      </c>
      <c r="D39" s="2" t="s">
        <v>131</v>
      </c>
      <c r="E39" s="2" t="s">
        <v>82</v>
      </c>
      <c r="F39" s="3">
        <v>4026</v>
      </c>
      <c r="G39" s="9" t="s">
        <v>79</v>
      </c>
    </row>
    <row r="40" spans="1:7" ht="15" customHeight="1" x14ac:dyDescent="0.2">
      <c r="A40" s="4">
        <v>38</v>
      </c>
      <c r="B40" s="4" t="s">
        <v>130</v>
      </c>
      <c r="C40" s="4" t="s">
        <v>21</v>
      </c>
      <c r="D40" s="4" t="s">
        <v>132</v>
      </c>
      <c r="E40" s="4" t="s">
        <v>96</v>
      </c>
      <c r="F40" s="5">
        <v>3439</v>
      </c>
      <c r="G40" s="10" t="s">
        <v>85</v>
      </c>
    </row>
    <row r="41" spans="1:7" ht="15" customHeight="1" x14ac:dyDescent="0.2">
      <c r="A41" s="2">
        <v>39</v>
      </c>
      <c r="B41" s="2" t="s">
        <v>130</v>
      </c>
      <c r="C41" s="2" t="s">
        <v>88</v>
      </c>
      <c r="D41" s="2" t="s">
        <v>131</v>
      </c>
      <c r="E41" s="2" t="s">
        <v>78</v>
      </c>
      <c r="F41" s="3">
        <v>1179</v>
      </c>
      <c r="G41" s="9" t="s">
        <v>79</v>
      </c>
    </row>
    <row r="42" spans="1:7" ht="15" customHeight="1" x14ac:dyDescent="0.2">
      <c r="A42" s="4">
        <v>40</v>
      </c>
      <c r="B42" s="4" t="s">
        <v>130</v>
      </c>
      <c r="C42" s="4" t="s">
        <v>88</v>
      </c>
      <c r="D42" s="4" t="s">
        <v>131</v>
      </c>
      <c r="E42" s="4" t="s">
        <v>78</v>
      </c>
      <c r="F42" s="5">
        <v>5894</v>
      </c>
      <c r="G42" s="9" t="s">
        <v>79</v>
      </c>
    </row>
    <row r="43" spans="1:7" ht="15" customHeight="1" x14ac:dyDescent="0.2">
      <c r="A43" s="2">
        <v>41</v>
      </c>
      <c r="B43" s="2" t="s">
        <v>133</v>
      </c>
      <c r="C43" s="2" t="s">
        <v>80</v>
      </c>
      <c r="D43" s="2" t="s">
        <v>134</v>
      </c>
      <c r="E43" s="2" t="s">
        <v>96</v>
      </c>
      <c r="F43" s="3">
        <v>7308</v>
      </c>
      <c r="G43" s="9" t="s">
        <v>79</v>
      </c>
    </row>
    <row r="44" spans="1:7" ht="15" customHeight="1" x14ac:dyDescent="0.2">
      <c r="A44" s="4">
        <v>42</v>
      </c>
      <c r="B44" s="4" t="s">
        <v>133</v>
      </c>
      <c r="C44" s="4" t="s">
        <v>76</v>
      </c>
      <c r="D44" s="4" t="s">
        <v>135</v>
      </c>
      <c r="E44" s="4" t="s">
        <v>98</v>
      </c>
      <c r="F44" s="5">
        <v>533</v>
      </c>
      <c r="G44" s="9" t="s">
        <v>79</v>
      </c>
    </row>
    <row r="45" spans="1:7" ht="15" customHeight="1" x14ac:dyDescent="0.2">
      <c r="A45" s="2">
        <v>43</v>
      </c>
      <c r="B45" s="2" t="s">
        <v>133</v>
      </c>
      <c r="C45" s="2" t="s">
        <v>103</v>
      </c>
      <c r="D45" s="2" t="s">
        <v>136</v>
      </c>
      <c r="E45" s="2" t="s">
        <v>83</v>
      </c>
      <c r="F45" s="3">
        <v>3524</v>
      </c>
      <c r="G45" s="9" t="s">
        <v>79</v>
      </c>
    </row>
    <row r="46" spans="1:7" ht="15" customHeight="1" x14ac:dyDescent="0.2">
      <c r="A46" s="4">
        <v>44</v>
      </c>
      <c r="B46" s="4" t="s">
        <v>133</v>
      </c>
      <c r="C46" s="4" t="s">
        <v>88</v>
      </c>
      <c r="D46" s="4" t="s">
        <v>137</v>
      </c>
      <c r="E46" s="4" t="s">
        <v>90</v>
      </c>
      <c r="F46" s="5">
        <v>7538</v>
      </c>
      <c r="G46" s="9" t="s">
        <v>79</v>
      </c>
    </row>
    <row r="47" spans="1:7" ht="15" customHeight="1" x14ac:dyDescent="0.2">
      <c r="A47" s="2">
        <v>45</v>
      </c>
      <c r="B47" s="2" t="s">
        <v>138</v>
      </c>
      <c r="C47" s="2" t="s">
        <v>103</v>
      </c>
      <c r="D47" s="2" t="s">
        <v>139</v>
      </c>
      <c r="E47" s="2" t="s">
        <v>82</v>
      </c>
      <c r="F47" s="3">
        <v>6889</v>
      </c>
      <c r="G47" s="10" t="s">
        <v>85</v>
      </c>
    </row>
    <row r="48" spans="1:7" ht="15" customHeight="1" x14ac:dyDescent="0.2">
      <c r="A48" s="4">
        <v>46</v>
      </c>
      <c r="B48" s="4" t="s">
        <v>138</v>
      </c>
      <c r="C48" s="4" t="s">
        <v>103</v>
      </c>
      <c r="D48" s="4" t="s">
        <v>139</v>
      </c>
      <c r="E48" s="4" t="s">
        <v>96</v>
      </c>
      <c r="F48" s="5">
        <v>3728</v>
      </c>
      <c r="G48" s="9" t="s">
        <v>79</v>
      </c>
    </row>
    <row r="49" spans="1:7" ht="15" customHeight="1" x14ac:dyDescent="0.2">
      <c r="A49" s="2">
        <v>47</v>
      </c>
      <c r="B49" s="2" t="s">
        <v>138</v>
      </c>
      <c r="C49" s="2" t="s">
        <v>103</v>
      </c>
      <c r="D49" s="2" t="s">
        <v>139</v>
      </c>
      <c r="E49" s="2" t="s">
        <v>90</v>
      </c>
      <c r="F49" s="3">
        <v>3780</v>
      </c>
      <c r="G49" s="9" t="s">
        <v>79</v>
      </c>
    </row>
    <row r="50" spans="1:7" ht="15" customHeight="1" x14ac:dyDescent="0.2">
      <c r="A50" s="4">
        <v>48</v>
      </c>
      <c r="B50" s="4" t="s">
        <v>138</v>
      </c>
      <c r="C50" s="4" t="s">
        <v>88</v>
      </c>
      <c r="D50" s="4" t="s">
        <v>140</v>
      </c>
      <c r="E50" s="4" t="s">
        <v>84</v>
      </c>
      <c r="F50" s="5">
        <v>2210</v>
      </c>
      <c r="G50" s="10" t="s">
        <v>85</v>
      </c>
    </row>
    <row r="51" spans="1:7" ht="15" customHeight="1" x14ac:dyDescent="0.2">
      <c r="A51" s="11" t="s">
        <v>68</v>
      </c>
      <c r="B51" s="11"/>
      <c r="C51" s="11"/>
      <c r="D51" s="11"/>
      <c r="E51" s="11"/>
      <c r="F51" s="12">
        <f>SUM(F3:F50)</f>
        <v>179765</v>
      </c>
      <c r="G51" s="1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H17"/>
  <sheetViews>
    <sheetView zoomScaleNormal="100" workbookViewId="0">
      <pane ySplit="2" topLeftCell="A3" activePane="bottomLeft" state="frozen"/>
      <selection pane="bottomLeft" sqref="A1:H1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16" customWidth="1"/>
    <col min="4" max="4" width="24" customWidth="1"/>
    <col min="5" max="6" width="14" customWidth="1"/>
    <col min="7" max="7" width="10" customWidth="1"/>
    <col min="8" max="8" width="16" customWidth="1"/>
  </cols>
  <sheetData>
    <row r="1" spans="1:8" ht="27.75" customHeight="1" x14ac:dyDescent="0.2">
      <c r="A1" s="71" t="s">
        <v>141</v>
      </c>
      <c r="B1" s="71"/>
      <c r="C1" s="71"/>
      <c r="D1" s="71"/>
      <c r="E1" s="71"/>
      <c r="F1" s="71"/>
      <c r="G1" s="71"/>
      <c r="H1" s="71"/>
    </row>
    <row r="2" spans="1:8" ht="21.75" customHeight="1" x14ac:dyDescent="0.2">
      <c r="A2" s="13" t="s">
        <v>142</v>
      </c>
      <c r="B2" s="13" t="s">
        <v>143</v>
      </c>
      <c r="C2" s="13" t="s">
        <v>144</v>
      </c>
      <c r="D2" s="13" t="s">
        <v>145</v>
      </c>
      <c r="E2" s="13" t="s">
        <v>146</v>
      </c>
      <c r="F2" s="13" t="s">
        <v>147</v>
      </c>
      <c r="G2" s="13" t="s">
        <v>74</v>
      </c>
      <c r="H2" s="13" t="s">
        <v>148</v>
      </c>
    </row>
    <row r="3" spans="1:8" ht="15" customHeight="1" x14ac:dyDescent="0.2">
      <c r="A3" s="2" t="s">
        <v>149</v>
      </c>
      <c r="B3" s="2" t="s">
        <v>24</v>
      </c>
      <c r="C3" s="2" t="s">
        <v>150</v>
      </c>
      <c r="D3" s="2" t="s">
        <v>151</v>
      </c>
      <c r="E3" s="2" t="s">
        <v>152</v>
      </c>
      <c r="F3" s="3">
        <v>2800</v>
      </c>
      <c r="G3" s="9" t="s">
        <v>153</v>
      </c>
      <c r="H3" s="2" t="str">
        <f t="shared" ref="H3:H17" ca="1" si="0">IF(E3&lt;&gt;"",DATEDIF(E3,TODAY(),"Y")&amp;" años","")</f>
        <v>7 años</v>
      </c>
    </row>
    <row r="4" spans="1:8" ht="15" customHeight="1" x14ac:dyDescent="0.2">
      <c r="A4" s="4" t="s">
        <v>154</v>
      </c>
      <c r="B4" s="4" t="s">
        <v>13</v>
      </c>
      <c r="C4" s="4" t="s">
        <v>150</v>
      </c>
      <c r="D4" s="4" t="s">
        <v>155</v>
      </c>
      <c r="E4" s="4" t="s">
        <v>156</v>
      </c>
      <c r="F4" s="5">
        <v>2500</v>
      </c>
      <c r="G4" s="9" t="s">
        <v>153</v>
      </c>
      <c r="H4" s="4" t="str">
        <f t="shared" ca="1" si="0"/>
        <v>4 años</v>
      </c>
    </row>
    <row r="5" spans="1:8" ht="15" customHeight="1" x14ac:dyDescent="0.2">
      <c r="A5" s="2" t="s">
        <v>157</v>
      </c>
      <c r="B5" s="2" t="s">
        <v>30</v>
      </c>
      <c r="C5" s="2" t="s">
        <v>150</v>
      </c>
      <c r="D5" s="2" t="s">
        <v>158</v>
      </c>
      <c r="E5" s="2" t="s">
        <v>159</v>
      </c>
      <c r="F5" s="3">
        <v>3200</v>
      </c>
      <c r="G5" s="9" t="s">
        <v>153</v>
      </c>
      <c r="H5" s="2" t="str">
        <f t="shared" ca="1" si="0"/>
        <v>8 años</v>
      </c>
    </row>
    <row r="6" spans="1:8" ht="15" customHeight="1" x14ac:dyDescent="0.2">
      <c r="A6" s="4" t="s">
        <v>160</v>
      </c>
      <c r="B6" s="4" t="s">
        <v>41</v>
      </c>
      <c r="C6" s="4" t="s">
        <v>150</v>
      </c>
      <c r="D6" s="4" t="s">
        <v>155</v>
      </c>
      <c r="E6" s="4" t="s">
        <v>161</v>
      </c>
      <c r="F6" s="5">
        <v>2400</v>
      </c>
      <c r="G6" s="9" t="s">
        <v>153</v>
      </c>
      <c r="H6" s="4" t="str">
        <f t="shared" ca="1" si="0"/>
        <v>4 años</v>
      </c>
    </row>
    <row r="7" spans="1:8" ht="15" customHeight="1" x14ac:dyDescent="0.2">
      <c r="A7" s="2" t="s">
        <v>162</v>
      </c>
      <c r="B7" s="2" t="s">
        <v>16</v>
      </c>
      <c r="C7" s="2" t="s">
        <v>150</v>
      </c>
      <c r="D7" s="2" t="s">
        <v>163</v>
      </c>
      <c r="E7" s="2" t="s">
        <v>164</v>
      </c>
      <c r="F7" s="3">
        <v>4500</v>
      </c>
      <c r="G7" s="9" t="s">
        <v>153</v>
      </c>
      <c r="H7" s="2" t="str">
        <f t="shared" ca="1" si="0"/>
        <v>10 años</v>
      </c>
    </row>
    <row r="8" spans="1:8" ht="15" customHeight="1" x14ac:dyDescent="0.2">
      <c r="A8" s="4" t="s">
        <v>165</v>
      </c>
      <c r="B8" s="4" t="s">
        <v>166</v>
      </c>
      <c r="C8" s="4" t="s">
        <v>167</v>
      </c>
      <c r="D8" s="4" t="s">
        <v>168</v>
      </c>
      <c r="E8" s="4" t="s">
        <v>169</v>
      </c>
      <c r="F8" s="5">
        <v>3100</v>
      </c>
      <c r="G8" s="9" t="s">
        <v>153</v>
      </c>
      <c r="H8" s="4" t="str">
        <f t="shared" ca="1" si="0"/>
        <v>7 años</v>
      </c>
    </row>
    <row r="9" spans="1:8" ht="15" customHeight="1" x14ac:dyDescent="0.2">
      <c r="A9" s="2" t="s">
        <v>170</v>
      </c>
      <c r="B9" s="2" t="s">
        <v>171</v>
      </c>
      <c r="C9" s="2" t="s">
        <v>167</v>
      </c>
      <c r="D9" s="2" t="s">
        <v>172</v>
      </c>
      <c r="E9" s="2" t="s">
        <v>173</v>
      </c>
      <c r="F9" s="3">
        <v>1900</v>
      </c>
      <c r="G9" s="9" t="s">
        <v>153</v>
      </c>
      <c r="H9" s="2" t="str">
        <f t="shared" ca="1" si="0"/>
        <v>3 años</v>
      </c>
    </row>
    <row r="10" spans="1:8" ht="15" customHeight="1" x14ac:dyDescent="0.2">
      <c r="A10" s="4" t="s">
        <v>174</v>
      </c>
      <c r="B10" s="4" t="s">
        <v>175</v>
      </c>
      <c r="C10" s="4" t="s">
        <v>91</v>
      </c>
      <c r="D10" s="4" t="s">
        <v>176</v>
      </c>
      <c r="E10" s="4" t="s">
        <v>177</v>
      </c>
      <c r="F10" s="5">
        <v>3400</v>
      </c>
      <c r="G10" s="9" t="s">
        <v>153</v>
      </c>
      <c r="H10" s="4" t="str">
        <f t="shared" ca="1" si="0"/>
        <v>10 años</v>
      </c>
    </row>
    <row r="11" spans="1:8" ht="15" customHeight="1" x14ac:dyDescent="0.2">
      <c r="A11" s="2" t="s">
        <v>178</v>
      </c>
      <c r="B11" s="2" t="s">
        <v>179</v>
      </c>
      <c r="C11" s="2" t="s">
        <v>91</v>
      </c>
      <c r="D11" s="2" t="s">
        <v>180</v>
      </c>
      <c r="E11" s="2" t="s">
        <v>181</v>
      </c>
      <c r="F11" s="3">
        <v>2000</v>
      </c>
      <c r="G11" s="9" t="s">
        <v>153</v>
      </c>
      <c r="H11" s="2" t="str">
        <f t="shared" ca="1" si="0"/>
        <v>2 años</v>
      </c>
    </row>
    <row r="12" spans="1:8" ht="15" customHeight="1" x14ac:dyDescent="0.2">
      <c r="A12" s="4" t="s">
        <v>182</v>
      </c>
      <c r="B12" s="4" t="s">
        <v>183</v>
      </c>
      <c r="C12" s="4" t="s">
        <v>21</v>
      </c>
      <c r="D12" s="4" t="s">
        <v>184</v>
      </c>
      <c r="E12" s="4" t="s">
        <v>185</v>
      </c>
      <c r="F12" s="5">
        <v>3600</v>
      </c>
      <c r="G12" s="9" t="s">
        <v>153</v>
      </c>
      <c r="H12" s="4" t="str">
        <f t="shared" ca="1" si="0"/>
        <v>5 años</v>
      </c>
    </row>
    <row r="13" spans="1:8" ht="15" customHeight="1" x14ac:dyDescent="0.2">
      <c r="A13" s="2" t="s">
        <v>186</v>
      </c>
      <c r="B13" s="2" t="s">
        <v>187</v>
      </c>
      <c r="C13" s="2" t="s">
        <v>103</v>
      </c>
      <c r="D13" s="2" t="s">
        <v>188</v>
      </c>
      <c r="E13" s="2" t="s">
        <v>189</v>
      </c>
      <c r="F13" s="3">
        <v>2700</v>
      </c>
      <c r="G13" s="9" t="s">
        <v>153</v>
      </c>
      <c r="H13" s="2" t="str">
        <f t="shared" ca="1" si="0"/>
        <v>4 años</v>
      </c>
    </row>
    <row r="14" spans="1:8" ht="15" customHeight="1" x14ac:dyDescent="0.2">
      <c r="A14" s="4" t="s">
        <v>190</v>
      </c>
      <c r="B14" s="4" t="s">
        <v>191</v>
      </c>
      <c r="C14" s="4" t="s">
        <v>192</v>
      </c>
      <c r="D14" s="4" t="s">
        <v>193</v>
      </c>
      <c r="E14" s="4" t="s">
        <v>194</v>
      </c>
      <c r="F14" s="5">
        <v>7500</v>
      </c>
      <c r="G14" s="9" t="s">
        <v>153</v>
      </c>
      <c r="H14" s="4" t="str">
        <f t="shared" ca="1" si="0"/>
        <v>14 años</v>
      </c>
    </row>
    <row r="15" spans="1:8" ht="15" customHeight="1" x14ac:dyDescent="0.2">
      <c r="A15" s="2" t="s">
        <v>195</v>
      </c>
      <c r="B15" s="2" t="s">
        <v>196</v>
      </c>
      <c r="C15" s="2" t="s">
        <v>197</v>
      </c>
      <c r="D15" s="2" t="s">
        <v>198</v>
      </c>
      <c r="E15" s="2" t="s">
        <v>199</v>
      </c>
      <c r="F15" s="3">
        <v>4200</v>
      </c>
      <c r="G15" s="9" t="s">
        <v>153</v>
      </c>
      <c r="H15" s="2" t="str">
        <f t="shared" ca="1" si="0"/>
        <v>11 años</v>
      </c>
    </row>
    <row r="16" spans="1:8" ht="15" customHeight="1" x14ac:dyDescent="0.2">
      <c r="A16" s="4" t="s">
        <v>200</v>
      </c>
      <c r="B16" s="4" t="s">
        <v>201</v>
      </c>
      <c r="C16" s="4" t="s">
        <v>150</v>
      </c>
      <c r="D16" s="4" t="s">
        <v>155</v>
      </c>
      <c r="E16" s="4" t="s">
        <v>202</v>
      </c>
      <c r="F16" s="5">
        <v>2600</v>
      </c>
      <c r="G16" s="10" t="s">
        <v>203</v>
      </c>
      <c r="H16" s="4" t="str">
        <f t="shared" ca="1" si="0"/>
        <v>6 años</v>
      </c>
    </row>
    <row r="17" spans="1:8" ht="15" customHeight="1" x14ac:dyDescent="0.2">
      <c r="A17" s="2" t="s">
        <v>204</v>
      </c>
      <c r="B17" s="2" t="s">
        <v>205</v>
      </c>
      <c r="C17" s="2" t="s">
        <v>167</v>
      </c>
      <c r="D17" s="2" t="s">
        <v>206</v>
      </c>
      <c r="E17" s="2" t="s">
        <v>207</v>
      </c>
      <c r="F17" s="3">
        <v>5800</v>
      </c>
      <c r="G17" s="9" t="s">
        <v>153</v>
      </c>
      <c r="H17" s="2" t="str">
        <f t="shared" ca="1" si="0"/>
        <v>12 años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148C"/>
  </sheetPr>
  <dimension ref="A1:L28"/>
  <sheetViews>
    <sheetView zoomScaleNormal="100" workbookViewId="0">
      <selection activeCell="E15" sqref="E15"/>
    </sheetView>
  </sheetViews>
  <sheetFormatPr baseColWidth="10" defaultColWidth="8.6640625" defaultRowHeight="15" x14ac:dyDescent="0.2"/>
  <cols>
    <col min="1" max="1" width="32" customWidth="1"/>
    <col min="2" max="2" width="20" customWidth="1"/>
    <col min="3" max="4" width="15" customWidth="1"/>
    <col min="5" max="5" width="6.5" customWidth="1"/>
    <col min="6" max="6" width="28.6640625" customWidth="1"/>
  </cols>
  <sheetData>
    <row r="1" spans="1:6" ht="31.5" customHeight="1" x14ac:dyDescent="0.2">
      <c r="A1" s="72" t="s">
        <v>208</v>
      </c>
      <c r="B1" s="72"/>
      <c r="C1" s="72"/>
      <c r="D1" s="72"/>
      <c r="E1" s="73"/>
      <c r="F1" s="73"/>
    </row>
    <row r="2" spans="1:6" x14ac:dyDescent="0.2">
      <c r="E2" s="63"/>
      <c r="F2" s="63"/>
    </row>
    <row r="3" spans="1:6" ht="21.75" customHeight="1" x14ac:dyDescent="0.2">
      <c r="A3" s="74" t="s">
        <v>209</v>
      </c>
      <c r="B3" s="74"/>
      <c r="C3" s="74"/>
      <c r="D3" s="74"/>
      <c r="E3" s="74"/>
      <c r="F3" s="74"/>
    </row>
    <row r="4" spans="1:6" ht="15" customHeight="1" x14ac:dyDescent="0.2">
      <c r="A4" s="14" t="s">
        <v>210</v>
      </c>
      <c r="B4" s="15">
        <f>SUM(Ventas!G3:G82)</f>
        <v>122289</v>
      </c>
      <c r="E4" s="63"/>
      <c r="F4" s="63"/>
    </row>
    <row r="5" spans="1:6" ht="15" customHeight="1" x14ac:dyDescent="0.2">
      <c r="A5" s="14" t="s">
        <v>211</v>
      </c>
      <c r="B5" s="15">
        <f>COUNTA(Ventas!A3:A82)</f>
        <v>80</v>
      </c>
      <c r="E5" s="63"/>
      <c r="F5" s="63"/>
    </row>
    <row r="6" spans="1:6" ht="15" customHeight="1" x14ac:dyDescent="0.2">
      <c r="A6" s="14" t="s">
        <v>212</v>
      </c>
      <c r="B6" s="15">
        <f>AVERAGE(Ventas!G3:G82)</f>
        <v>1528.6125</v>
      </c>
      <c r="E6" s="63"/>
      <c r="F6" s="63"/>
    </row>
    <row r="7" spans="1:6" ht="15" customHeight="1" x14ac:dyDescent="0.2">
      <c r="A7" s="14" t="s">
        <v>213</v>
      </c>
      <c r="B7" s="15">
        <f>MAX(Ventas!G3:G82)</f>
        <v>9880</v>
      </c>
    </row>
    <row r="8" spans="1:6" ht="15" customHeight="1" x14ac:dyDescent="0.2">
      <c r="A8" s="14" t="s">
        <v>214</v>
      </c>
      <c r="B8" s="15">
        <f>MIN(Ventas!G3:G82)</f>
        <v>8</v>
      </c>
    </row>
    <row r="10" spans="1:6" ht="21.75" customHeight="1" x14ac:dyDescent="0.2">
      <c r="A10" s="75" t="s">
        <v>215</v>
      </c>
      <c r="B10" s="75"/>
      <c r="C10" s="75"/>
      <c r="D10" s="75"/>
      <c r="E10" s="75"/>
      <c r="F10" s="75"/>
    </row>
    <row r="11" spans="1:6" ht="15" customHeight="1" x14ac:dyDescent="0.2">
      <c r="A11" s="16" t="s">
        <v>216</v>
      </c>
      <c r="B11" s="17">
        <f>SUM(Gastos!F3:F50)</f>
        <v>179765</v>
      </c>
    </row>
    <row r="12" spans="1:6" ht="15" customHeight="1" x14ac:dyDescent="0.2">
      <c r="A12" s="16" t="s">
        <v>217</v>
      </c>
      <c r="B12" s="17">
        <f>SUMIF(Gastos!G3:G50,"Pendiente",Gastos!F3:F50)</f>
        <v>46145</v>
      </c>
    </row>
    <row r="13" spans="1:6" ht="15" customHeight="1" x14ac:dyDescent="0.2">
      <c r="A13" s="59" t="s">
        <v>218</v>
      </c>
      <c r="B13" s="61">
        <f>SUMIF(Gastos!G3:G50,"Pagado",Gastos!F3:F50)</f>
        <v>133620</v>
      </c>
    </row>
    <row r="14" spans="1:6" ht="15" customHeight="1" x14ac:dyDescent="0.2">
      <c r="A14" s="60" t="s">
        <v>326</v>
      </c>
      <c r="B14" s="62">
        <f>B4-B11</f>
        <v>-57476</v>
      </c>
    </row>
    <row r="16" spans="1:6" ht="21.75" customHeight="1" x14ac:dyDescent="0.2">
      <c r="A16" s="76" t="s">
        <v>219</v>
      </c>
      <c r="B16" s="76"/>
      <c r="C16" s="76"/>
      <c r="D16" s="76"/>
      <c r="E16" s="77"/>
      <c r="F16" s="77"/>
    </row>
    <row r="17" spans="1:12" ht="15" customHeight="1" x14ac:dyDescent="0.2">
      <c r="A17" s="18" t="s">
        <v>220</v>
      </c>
      <c r="B17" s="19">
        <f>COUNTA(Empleados!A3:A17)</f>
        <v>15</v>
      </c>
      <c r="E17" s="64" t="s">
        <v>24</v>
      </c>
      <c r="F17" s="65">
        <f>SUMIF(Ventas!H3:H82,E17,Ventas!G3:G82)</f>
        <v>37279</v>
      </c>
    </row>
    <row r="18" spans="1:12" ht="15" customHeight="1" x14ac:dyDescent="0.2">
      <c r="A18" s="18" t="s">
        <v>221</v>
      </c>
      <c r="B18" s="19">
        <f>COUNTIF(Empleados!G3:G17,"Activo")</f>
        <v>14</v>
      </c>
      <c r="E18" s="64" t="s">
        <v>13</v>
      </c>
      <c r="F18" s="65">
        <f>SUMIF(Ventas!H3:H82,E18,Ventas!G3:G82)</f>
        <v>24546</v>
      </c>
    </row>
    <row r="19" spans="1:12" ht="15" customHeight="1" x14ac:dyDescent="0.2">
      <c r="A19" s="18" t="s">
        <v>222</v>
      </c>
      <c r="B19" s="19">
        <f>AVERAGE(Empleados!F3:F17)</f>
        <v>3480</v>
      </c>
      <c r="E19" s="64" t="s">
        <v>30</v>
      </c>
      <c r="F19" s="65">
        <f>SUMIF(Ventas!H3:H82,E19,Ventas!G3:G82)</f>
        <v>19211</v>
      </c>
    </row>
    <row r="20" spans="1:12" ht="15" customHeight="1" x14ac:dyDescent="0.2">
      <c r="A20" s="18" t="s">
        <v>223</v>
      </c>
      <c r="B20" s="19">
        <f>SUMIF(Empleados!G3:G17,"Activo",Empleados!F3:F17)</f>
        <v>49600</v>
      </c>
      <c r="E20" s="64" t="s">
        <v>41</v>
      </c>
      <c r="F20" s="65">
        <f>SUMIF(Ventas!H3:H82,E20,Ventas!G3:G82)</f>
        <v>4926</v>
      </c>
      <c r="H20" s="64"/>
      <c r="I20" s="65"/>
      <c r="L20" s="66"/>
    </row>
    <row r="21" spans="1:12" x14ac:dyDescent="0.2">
      <c r="E21" s="64" t="s">
        <v>16</v>
      </c>
      <c r="F21" s="65">
        <f>SUMIF(Ventas!H3:H82,E21,Ventas!G3:G82)</f>
        <v>36327</v>
      </c>
      <c r="L21" s="66"/>
    </row>
    <row r="22" spans="1:12" ht="15" customHeight="1" x14ac:dyDescent="0.2">
      <c r="A22" s="78" t="s">
        <v>224</v>
      </c>
      <c r="B22" s="78"/>
      <c r="C22" s="78"/>
      <c r="D22" s="78"/>
      <c r="E22" s="78"/>
      <c r="F22" s="78"/>
      <c r="L22" s="66"/>
    </row>
    <row r="23" spans="1:12" ht="15" customHeight="1" x14ac:dyDescent="0.2">
      <c r="A23" s="78"/>
      <c r="B23" s="78"/>
      <c r="C23" s="78"/>
      <c r="D23" s="78"/>
      <c r="E23" s="78"/>
      <c r="F23" s="78"/>
      <c r="L23" s="66"/>
    </row>
    <row r="24" spans="1:12" x14ac:dyDescent="0.2">
      <c r="L24" s="66"/>
    </row>
    <row r="25" spans="1:12" x14ac:dyDescent="0.2">
      <c r="L25" s="66"/>
    </row>
    <row r="26" spans="1:12" x14ac:dyDescent="0.2">
      <c r="L26" s="66"/>
    </row>
    <row r="27" spans="1:12" x14ac:dyDescent="0.2">
      <c r="L27" s="66"/>
    </row>
    <row r="28" spans="1:12" x14ac:dyDescent="0.2">
      <c r="L28" s="66"/>
    </row>
  </sheetData>
  <mergeCells count="5">
    <mergeCell ref="A1:F1"/>
    <mergeCell ref="A3:F3"/>
    <mergeCell ref="A10:F10"/>
    <mergeCell ref="A16:F16"/>
    <mergeCell ref="A22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1C1C"/>
  </sheetPr>
  <dimension ref="A1:E16"/>
  <sheetViews>
    <sheetView zoomScaleNormal="100" workbookViewId="0">
      <selection activeCell="G10" sqref="G10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8" customWidth="1"/>
    <col min="4" max="4" width="14" customWidth="1"/>
    <col min="5" max="5" width="33.1640625" customWidth="1"/>
  </cols>
  <sheetData>
    <row r="1" spans="1:5" ht="27.75" customHeight="1" x14ac:dyDescent="0.2">
      <c r="A1" s="68" t="s">
        <v>267</v>
      </c>
      <c r="B1" s="68"/>
      <c r="C1" s="68"/>
      <c r="D1" s="68"/>
      <c r="E1" s="68"/>
    </row>
    <row r="2" spans="1:5" ht="19.5" customHeight="1" x14ac:dyDescent="0.2">
      <c r="A2" s="20" t="s">
        <v>3</v>
      </c>
      <c r="B2" s="20" t="s">
        <v>5</v>
      </c>
      <c r="C2" s="20" t="s">
        <v>268</v>
      </c>
      <c r="D2" s="20" t="s">
        <v>7</v>
      </c>
      <c r="E2" s="20" t="s">
        <v>225</v>
      </c>
    </row>
    <row r="3" spans="1:5" x14ac:dyDescent="0.2">
      <c r="A3" s="30" t="s">
        <v>45</v>
      </c>
      <c r="B3" s="30">
        <v>5</v>
      </c>
      <c r="C3" s="30">
        <v>850</v>
      </c>
      <c r="D3" s="30">
        <f>B3*C3</f>
        <v>4250</v>
      </c>
      <c r="E3" s="31">
        <v>0.1</v>
      </c>
    </row>
    <row r="4" spans="1:5" ht="15" customHeight="1" x14ac:dyDescent="0.2">
      <c r="A4" s="32" t="s">
        <v>226</v>
      </c>
      <c r="B4" s="32">
        <v>3</v>
      </c>
      <c r="C4" s="32">
        <v>320</v>
      </c>
      <c r="D4" s="32">
        <f>B4*C99</f>
        <v>0</v>
      </c>
      <c r="E4" s="33"/>
    </row>
    <row r="5" spans="1:5" ht="15" customHeight="1" x14ac:dyDescent="0.2">
      <c r="A5" s="30" t="s">
        <v>227</v>
      </c>
      <c r="B5" s="30">
        <v>10</v>
      </c>
      <c r="C5" s="30">
        <v>45</v>
      </c>
      <c r="D5" s="30">
        <f>B5*C5</f>
        <v>450</v>
      </c>
      <c r="E5" s="31">
        <v>0.1</v>
      </c>
    </row>
    <row r="6" spans="1:5" ht="15" customHeight="1" x14ac:dyDescent="0.2">
      <c r="A6" s="32" t="s">
        <v>228</v>
      </c>
      <c r="B6" s="32">
        <v>8</v>
      </c>
      <c r="C6" s="32"/>
      <c r="D6" s="32" t="e">
        <f>B6*A6</f>
        <v>#VALUE!</v>
      </c>
      <c r="E6" s="33"/>
    </row>
    <row r="7" spans="1:5" ht="15" customHeight="1" x14ac:dyDescent="0.2">
      <c r="A7" s="30" t="s">
        <v>229</v>
      </c>
      <c r="B7" s="30">
        <v>2</v>
      </c>
      <c r="C7" s="30">
        <v>380</v>
      </c>
      <c r="D7" s="30">
        <f>B7*C7</f>
        <v>760</v>
      </c>
      <c r="E7" s="31">
        <v>0.1</v>
      </c>
    </row>
    <row r="8" spans="1:5" ht="15" customHeight="1" x14ac:dyDescent="0.2">
      <c r="A8" s="34" t="s">
        <v>269</v>
      </c>
      <c r="B8" s="34"/>
      <c r="C8" s="34" t="e">
        <f>SUM(C3:C7)/0</f>
        <v>#DIV/0!</v>
      </c>
      <c r="D8" s="34" t="e">
        <f>SUM(D3:D7)</f>
        <v>#VALUE!</v>
      </c>
      <c r="E8" s="35"/>
    </row>
    <row r="9" spans="1:5" ht="15" customHeight="1" x14ac:dyDescent="0.2">
      <c r="A9" s="36"/>
      <c r="B9" s="36"/>
      <c r="C9" s="36"/>
      <c r="D9" s="36"/>
      <c r="E9" s="37"/>
    </row>
    <row r="10" spans="1:5" ht="15" customHeight="1" x14ac:dyDescent="0.2">
      <c r="A10" s="67" t="s">
        <v>270</v>
      </c>
      <c r="B10" s="67"/>
      <c r="C10" s="67"/>
      <c r="D10" s="67"/>
      <c r="E10" s="67"/>
    </row>
    <row r="11" spans="1:5" x14ac:dyDescent="0.2">
      <c r="A11" s="38" t="s">
        <v>8</v>
      </c>
      <c r="B11" s="38" t="s">
        <v>4</v>
      </c>
      <c r="C11" s="38" t="s">
        <v>271</v>
      </c>
      <c r="D11" s="38" t="s">
        <v>272</v>
      </c>
      <c r="E11" s="38" t="s">
        <v>273</v>
      </c>
    </row>
    <row r="12" spans="1:5" ht="21.75" customHeight="1" x14ac:dyDescent="0.2">
      <c r="A12" s="32" t="s">
        <v>24</v>
      </c>
      <c r="B12" s="32" t="s">
        <v>21</v>
      </c>
      <c r="C12" s="32" t="s">
        <v>274</v>
      </c>
      <c r="D12" s="32" t="s">
        <v>275</v>
      </c>
      <c r="E12" s="39" t="e">
        <f>IF(SUMIFS([1]Ventas!G:G,[1]Ventas!H:H,"Ana Gómez",[1]Ventas!D:D,"Tecnología")&gt;AVERAGE([1]Ventas!G:G),SUM([1]Ventas!G:G)*10%,SUM([1]Ventas!G:G)*5%)</f>
        <v>#VALUE!</v>
      </c>
    </row>
    <row r="13" spans="1:5" ht="15" customHeight="1" x14ac:dyDescent="0.2"/>
    <row r="14" spans="1:5" ht="15" customHeight="1" x14ac:dyDescent="0.2"/>
    <row r="15" spans="1:5" ht="15" customHeight="1" x14ac:dyDescent="0.2"/>
    <row r="16" spans="1:5" ht="15" customHeight="1" x14ac:dyDescent="0.2"/>
  </sheetData>
  <mergeCells count="2">
    <mergeCell ref="A10:E10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500A"/>
  </sheetPr>
  <dimension ref="A1:G11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22" customWidth="1"/>
    <col min="2" max="2" width="32" customWidth="1"/>
    <col min="3" max="3" width="50" customWidth="1"/>
    <col min="4" max="4" width="22" customWidth="1"/>
    <col min="5" max="5" width="40" customWidth="1"/>
  </cols>
  <sheetData>
    <row r="1" spans="1:7" ht="27.75" customHeight="1" x14ac:dyDescent="0.2">
      <c r="A1" s="79" t="s">
        <v>230</v>
      </c>
      <c r="B1" s="79"/>
      <c r="C1" s="79"/>
      <c r="D1" s="79"/>
      <c r="E1" s="79"/>
      <c r="F1" s="79"/>
      <c r="G1" s="79"/>
    </row>
    <row r="2" spans="1:7" ht="19.5" customHeight="1" x14ac:dyDescent="0.2">
      <c r="A2" s="80" t="s">
        <v>231</v>
      </c>
      <c r="B2" s="80"/>
      <c r="C2" s="80"/>
      <c r="D2" s="80"/>
      <c r="E2" s="80"/>
      <c r="F2" s="80"/>
      <c r="G2" s="80"/>
    </row>
    <row r="4" spans="1:7" ht="21.75" customHeight="1" x14ac:dyDescent="0.2">
      <c r="A4" s="21" t="s">
        <v>232</v>
      </c>
      <c r="B4" s="21" t="s">
        <v>233</v>
      </c>
      <c r="C4" s="21" t="s">
        <v>234</v>
      </c>
      <c r="D4" s="21" t="s">
        <v>235</v>
      </c>
      <c r="E4" s="21" t="s">
        <v>236</v>
      </c>
    </row>
    <row r="5" spans="1:7" ht="48" customHeight="1" x14ac:dyDescent="0.2">
      <c r="A5" s="22" t="s">
        <v>237</v>
      </c>
      <c r="B5" s="23" t="s">
        <v>238</v>
      </c>
      <c r="C5" s="24" t="s">
        <v>239</v>
      </c>
      <c r="D5" s="23" t="s">
        <v>240</v>
      </c>
      <c r="E5" s="23" t="s">
        <v>241</v>
      </c>
    </row>
    <row r="6" spans="1:7" ht="48" customHeight="1" x14ac:dyDescent="0.2">
      <c r="A6" s="25" t="s">
        <v>242</v>
      </c>
      <c r="B6" s="26" t="s">
        <v>243</v>
      </c>
      <c r="C6" s="27" t="s">
        <v>244</v>
      </c>
      <c r="D6" s="26" t="s">
        <v>240</v>
      </c>
      <c r="E6" s="26" t="s">
        <v>245</v>
      </c>
    </row>
    <row r="7" spans="1:7" ht="48" customHeight="1" x14ac:dyDescent="0.2">
      <c r="A7" s="22" t="s">
        <v>246</v>
      </c>
      <c r="B7" s="23" t="s">
        <v>247</v>
      </c>
      <c r="C7" s="24" t="s">
        <v>248</v>
      </c>
      <c r="D7" s="23" t="s">
        <v>240</v>
      </c>
      <c r="E7" s="23" t="s">
        <v>249</v>
      </c>
    </row>
    <row r="8" spans="1:7" ht="48" customHeight="1" x14ac:dyDescent="0.2">
      <c r="A8" s="25" t="s">
        <v>250</v>
      </c>
      <c r="B8" s="26" t="s">
        <v>251</v>
      </c>
      <c r="C8" s="27" t="s">
        <v>252</v>
      </c>
      <c r="D8" s="26" t="s">
        <v>240</v>
      </c>
      <c r="E8" s="26" t="s">
        <v>253</v>
      </c>
    </row>
    <row r="9" spans="1:7" ht="48" customHeight="1" x14ac:dyDescent="0.2">
      <c r="A9" s="22" t="s">
        <v>254</v>
      </c>
      <c r="B9" s="23" t="s">
        <v>255</v>
      </c>
      <c r="C9" s="24" t="s">
        <v>256</v>
      </c>
      <c r="D9" s="23" t="s">
        <v>240</v>
      </c>
      <c r="E9" s="23" t="s">
        <v>257</v>
      </c>
    </row>
    <row r="10" spans="1:7" ht="48" customHeight="1" x14ac:dyDescent="0.2">
      <c r="A10" s="25" t="s">
        <v>258</v>
      </c>
      <c r="B10" s="26" t="s">
        <v>259</v>
      </c>
      <c r="C10" s="27" t="s">
        <v>260</v>
      </c>
      <c r="D10" s="26" t="s">
        <v>261</v>
      </c>
      <c r="E10" s="26" t="s">
        <v>262</v>
      </c>
    </row>
    <row r="11" spans="1:7" ht="48" customHeight="1" x14ac:dyDescent="0.2">
      <c r="A11" s="22" t="s">
        <v>263</v>
      </c>
      <c r="B11" s="23" t="s">
        <v>264</v>
      </c>
      <c r="C11" s="24" t="s">
        <v>265</v>
      </c>
      <c r="D11" s="23" t="s">
        <v>240</v>
      </c>
      <c r="E11" s="23" t="s">
        <v>266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B599-59B8-0444-AA86-47427BBB86A1}">
  <dimension ref="A1:F22"/>
  <sheetViews>
    <sheetView workbookViewId="0">
      <selection activeCell="H7" sqref="H7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4" customWidth="1"/>
    <col min="4" max="4" width="18" customWidth="1"/>
    <col min="5" max="5" width="16" customWidth="1"/>
    <col min="6" max="6" width="14" customWidth="1"/>
  </cols>
  <sheetData>
    <row r="1" spans="1:6" ht="27.75" customHeight="1" x14ac:dyDescent="0.2">
      <c r="A1" s="81" t="s">
        <v>276</v>
      </c>
      <c r="B1" s="81"/>
      <c r="C1" s="81"/>
      <c r="D1" s="81"/>
      <c r="E1" s="81"/>
      <c r="F1" s="81"/>
    </row>
    <row r="2" spans="1:6" ht="19.5" customHeight="1" x14ac:dyDescent="0.2">
      <c r="A2" s="40" t="s">
        <v>1</v>
      </c>
      <c r="B2" s="40" t="s">
        <v>72</v>
      </c>
      <c r="C2" s="40" t="s">
        <v>4</v>
      </c>
      <c r="D2" s="40" t="s">
        <v>277</v>
      </c>
      <c r="E2" s="40" t="s">
        <v>73</v>
      </c>
      <c r="F2" s="40" t="s">
        <v>278</v>
      </c>
    </row>
    <row r="3" spans="1:6" ht="18" customHeight="1" x14ac:dyDescent="0.2">
      <c r="A3" s="41">
        <v>1</v>
      </c>
      <c r="B3" s="41" t="s">
        <v>83</v>
      </c>
      <c r="C3" s="41" t="s">
        <v>91</v>
      </c>
      <c r="D3" s="41" t="s">
        <v>279</v>
      </c>
      <c r="E3" s="41">
        <v>1250</v>
      </c>
      <c r="F3" s="41" t="s">
        <v>79</v>
      </c>
    </row>
    <row r="4" spans="1:6" ht="18" customHeight="1" x14ac:dyDescent="0.2">
      <c r="A4" s="32">
        <v>2</v>
      </c>
      <c r="B4" s="32" t="s">
        <v>280</v>
      </c>
      <c r="C4" s="32" t="s">
        <v>281</v>
      </c>
      <c r="D4" s="32" t="s">
        <v>282</v>
      </c>
      <c r="E4" s="32">
        <v>4500</v>
      </c>
      <c r="F4" s="32" t="s">
        <v>283</v>
      </c>
    </row>
    <row r="5" spans="1:6" ht="18" customHeight="1" x14ac:dyDescent="0.2">
      <c r="A5" s="41">
        <v>3</v>
      </c>
      <c r="B5" s="41" t="s">
        <v>78</v>
      </c>
      <c r="C5" s="41" t="s">
        <v>88</v>
      </c>
      <c r="D5" s="41" t="s">
        <v>284</v>
      </c>
      <c r="E5" s="41">
        <v>890</v>
      </c>
      <c r="F5" s="41" t="s">
        <v>285</v>
      </c>
    </row>
    <row r="6" spans="1:6" ht="18" customHeight="1" x14ac:dyDescent="0.2">
      <c r="A6" s="32">
        <v>4</v>
      </c>
      <c r="B6" s="32" t="s">
        <v>286</v>
      </c>
      <c r="C6" s="32" t="s">
        <v>287</v>
      </c>
      <c r="D6" s="32" t="s">
        <v>288</v>
      </c>
      <c r="E6" s="32">
        <v>2100</v>
      </c>
      <c r="F6" s="32" t="s">
        <v>85</v>
      </c>
    </row>
    <row r="7" spans="1:6" ht="18" customHeight="1" x14ac:dyDescent="0.2">
      <c r="A7" s="41">
        <v>5</v>
      </c>
      <c r="B7" s="41" t="s">
        <v>90</v>
      </c>
      <c r="C7" s="41" t="s">
        <v>21</v>
      </c>
      <c r="D7" s="41" t="s">
        <v>289</v>
      </c>
      <c r="E7" s="41" t="s">
        <v>290</v>
      </c>
      <c r="F7" s="41" t="s">
        <v>291</v>
      </c>
    </row>
    <row r="8" spans="1:6" ht="18" customHeight="1" x14ac:dyDescent="0.2">
      <c r="A8" s="42">
        <v>6</v>
      </c>
      <c r="B8" s="42"/>
      <c r="C8" s="42"/>
      <c r="D8" s="42"/>
      <c r="E8" s="42"/>
      <c r="F8" s="42"/>
    </row>
    <row r="9" spans="1:6" ht="18" customHeight="1" x14ac:dyDescent="0.2">
      <c r="A9" s="41">
        <v>7</v>
      </c>
      <c r="B9" s="41" t="s">
        <v>292</v>
      </c>
      <c r="C9" s="41" t="s">
        <v>76</v>
      </c>
      <c r="D9" s="41" t="s">
        <v>293</v>
      </c>
      <c r="E9" s="41">
        <v>7200</v>
      </c>
      <c r="F9" s="41" t="s">
        <v>285</v>
      </c>
    </row>
    <row r="10" spans="1:6" ht="18" customHeight="1" x14ac:dyDescent="0.2">
      <c r="A10" s="32">
        <v>8</v>
      </c>
      <c r="B10" s="32" t="s">
        <v>294</v>
      </c>
      <c r="C10" s="32" t="s">
        <v>27</v>
      </c>
      <c r="D10" s="32" t="s">
        <v>295</v>
      </c>
      <c r="E10" s="32">
        <v>320</v>
      </c>
      <c r="F10" s="32" t="s">
        <v>296</v>
      </c>
    </row>
    <row r="11" spans="1:6" ht="18" customHeight="1" x14ac:dyDescent="0.2">
      <c r="A11" s="41">
        <v>9</v>
      </c>
      <c r="B11" s="41" t="s">
        <v>297</v>
      </c>
      <c r="C11" s="41" t="s">
        <v>298</v>
      </c>
      <c r="D11" s="41" t="s">
        <v>55</v>
      </c>
      <c r="E11" s="41">
        <v>1800</v>
      </c>
      <c r="F11" s="41" t="s">
        <v>299</v>
      </c>
    </row>
    <row r="12" spans="1:6" ht="18" customHeight="1" x14ac:dyDescent="0.2">
      <c r="A12" s="32">
        <v>10</v>
      </c>
      <c r="B12" s="32" t="s">
        <v>300</v>
      </c>
      <c r="C12" s="32" t="s">
        <v>80</v>
      </c>
      <c r="D12" s="32" t="s">
        <v>301</v>
      </c>
      <c r="E12" s="32">
        <v>4500</v>
      </c>
      <c r="F12" s="32" t="s">
        <v>79</v>
      </c>
    </row>
    <row r="13" spans="1:6" ht="18" customHeight="1" x14ac:dyDescent="0.2">
      <c r="A13" s="41">
        <v>11</v>
      </c>
      <c r="B13" s="41" t="s">
        <v>78</v>
      </c>
      <c r="C13" s="41" t="s">
        <v>302</v>
      </c>
      <c r="D13" s="41" t="s">
        <v>303</v>
      </c>
      <c r="E13" s="41">
        <v>890</v>
      </c>
      <c r="F13" s="41" t="s">
        <v>79</v>
      </c>
    </row>
    <row r="14" spans="1:6" ht="18" customHeight="1" x14ac:dyDescent="0.2">
      <c r="A14" s="42">
        <v>12</v>
      </c>
      <c r="B14" s="42"/>
      <c r="C14" s="42"/>
      <c r="D14" s="42"/>
      <c r="E14" s="42"/>
      <c r="F14" s="42"/>
    </row>
    <row r="15" spans="1:6" ht="18" customHeight="1" x14ac:dyDescent="0.2">
      <c r="A15" s="41">
        <v>13</v>
      </c>
      <c r="B15" s="41" t="s">
        <v>304</v>
      </c>
      <c r="C15" s="41" t="s">
        <v>103</v>
      </c>
      <c r="D15" s="41" t="s">
        <v>44</v>
      </c>
      <c r="E15" s="41" t="s">
        <v>305</v>
      </c>
      <c r="F15" s="41" t="s">
        <v>306</v>
      </c>
    </row>
    <row r="16" spans="1:6" ht="18" customHeight="1" x14ac:dyDescent="0.2">
      <c r="A16" s="32">
        <v>14</v>
      </c>
      <c r="B16" s="32" t="s">
        <v>307</v>
      </c>
      <c r="C16" s="32" t="s">
        <v>21</v>
      </c>
      <c r="D16" s="32" t="s">
        <v>308</v>
      </c>
      <c r="E16" s="32">
        <v>3400</v>
      </c>
      <c r="F16" s="32" t="s">
        <v>283</v>
      </c>
    </row>
    <row r="17" spans="1:6" ht="18" customHeight="1" x14ac:dyDescent="0.2">
      <c r="A17" s="41">
        <v>15</v>
      </c>
      <c r="B17" s="41" t="s">
        <v>309</v>
      </c>
      <c r="C17" s="41" t="s">
        <v>310</v>
      </c>
      <c r="D17" s="41" t="s">
        <v>311</v>
      </c>
      <c r="E17" s="41">
        <v>7200</v>
      </c>
      <c r="F17" s="41" t="s">
        <v>79</v>
      </c>
    </row>
    <row r="18" spans="1:6" ht="18" customHeight="1" x14ac:dyDescent="0.2">
      <c r="A18" s="32">
        <v>16</v>
      </c>
      <c r="B18" s="32" t="s">
        <v>83</v>
      </c>
      <c r="C18" s="32" t="s">
        <v>91</v>
      </c>
      <c r="D18" s="32" t="s">
        <v>312</v>
      </c>
      <c r="E18" s="32" t="s">
        <v>313</v>
      </c>
      <c r="F18" s="32" t="s">
        <v>79</v>
      </c>
    </row>
    <row r="19" spans="1:6" ht="18" customHeight="1" x14ac:dyDescent="0.2">
      <c r="A19" s="41">
        <v>17</v>
      </c>
      <c r="B19" s="41" t="s">
        <v>314</v>
      </c>
      <c r="C19" s="41" t="s">
        <v>315</v>
      </c>
      <c r="D19" s="41" t="s">
        <v>316</v>
      </c>
      <c r="E19" s="41">
        <v>320</v>
      </c>
      <c r="F19" s="41" t="s">
        <v>317</v>
      </c>
    </row>
    <row r="20" spans="1:6" ht="18" customHeight="1" x14ac:dyDescent="0.2">
      <c r="A20" s="32">
        <v>18</v>
      </c>
      <c r="B20" s="32" t="s">
        <v>84</v>
      </c>
      <c r="C20" s="32" t="s">
        <v>318</v>
      </c>
      <c r="D20" s="32" t="s">
        <v>319</v>
      </c>
      <c r="E20" s="32">
        <v>4500</v>
      </c>
      <c r="F20" s="32" t="s">
        <v>306</v>
      </c>
    </row>
    <row r="21" spans="1:6" ht="18" customHeight="1" x14ac:dyDescent="0.2">
      <c r="A21" s="41">
        <v>19</v>
      </c>
      <c r="B21" s="41" t="s">
        <v>320</v>
      </c>
      <c r="C21" s="41" t="s">
        <v>88</v>
      </c>
      <c r="D21" s="41" t="s">
        <v>321</v>
      </c>
      <c r="E21" s="41">
        <v>890</v>
      </c>
      <c r="F21" s="41" t="s">
        <v>283</v>
      </c>
    </row>
    <row r="22" spans="1:6" ht="18" customHeight="1" x14ac:dyDescent="0.2">
      <c r="A22" s="32">
        <v>20</v>
      </c>
      <c r="B22" s="32" t="s">
        <v>96</v>
      </c>
      <c r="C22" s="32" t="s">
        <v>103</v>
      </c>
      <c r="D22" s="32" t="s">
        <v>322</v>
      </c>
      <c r="E22" s="32">
        <v>2100</v>
      </c>
      <c r="F22" s="32" t="s">
        <v>79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207A-6CEC-3E44-8A6C-0DFF58B145E6}">
  <dimension ref="A1:F20"/>
  <sheetViews>
    <sheetView tabSelected="1" workbookViewId="0">
      <selection sqref="A1:F20"/>
    </sheetView>
  </sheetViews>
  <sheetFormatPr baseColWidth="10" defaultRowHeight="15" x14ac:dyDescent="0.2"/>
  <sheetData>
    <row r="1" spans="1:6" ht="18" customHeight="1" x14ac:dyDescent="0.2">
      <c r="A1" s="46" t="s">
        <v>323</v>
      </c>
    </row>
    <row r="2" spans="1:6" ht="18" customHeight="1" x14ac:dyDescent="0.2">
      <c r="A2" s="44" t="s">
        <v>1</v>
      </c>
      <c r="B2" s="43" t="s">
        <v>72</v>
      </c>
      <c r="C2" s="43" t="s">
        <v>4</v>
      </c>
      <c r="D2" s="44" t="s">
        <v>324</v>
      </c>
      <c r="E2" s="45" t="s">
        <v>73</v>
      </c>
      <c r="F2" s="44" t="s">
        <v>325</v>
      </c>
    </row>
    <row r="3" spans="1:6" ht="18" customHeight="1" x14ac:dyDescent="0.2">
      <c r="A3" s="49">
        <v>1</v>
      </c>
      <c r="B3" s="47" t="s">
        <v>83</v>
      </c>
      <c r="C3" s="47" t="s">
        <v>91</v>
      </c>
      <c r="D3" s="51">
        <v>45366</v>
      </c>
      <c r="E3" s="53">
        <v>1250</v>
      </c>
      <c r="F3" s="55" t="s">
        <v>79</v>
      </c>
    </row>
    <row r="4" spans="1:6" ht="18" customHeight="1" x14ac:dyDescent="0.2">
      <c r="A4" s="50">
        <v>2</v>
      </c>
      <c r="B4" s="48" t="s">
        <v>84</v>
      </c>
      <c r="C4" s="48" t="s">
        <v>80</v>
      </c>
      <c r="D4" s="52">
        <v>45383</v>
      </c>
      <c r="E4" s="54">
        <v>4500</v>
      </c>
      <c r="F4" s="56" t="s">
        <v>79</v>
      </c>
    </row>
    <row r="5" spans="1:6" ht="18" customHeight="1" x14ac:dyDescent="0.2">
      <c r="A5" s="49">
        <v>3</v>
      </c>
      <c r="B5" s="47" t="s">
        <v>78</v>
      </c>
      <c r="C5" s="47" t="s">
        <v>88</v>
      </c>
      <c r="D5" s="51">
        <v>45292</v>
      </c>
      <c r="E5" s="53">
        <v>890</v>
      </c>
      <c r="F5" s="55" t="s">
        <v>79</v>
      </c>
    </row>
    <row r="6" spans="1:6" ht="18" customHeight="1" x14ac:dyDescent="0.2">
      <c r="A6" s="50">
        <v>4</v>
      </c>
      <c r="B6" s="48" t="s">
        <v>96</v>
      </c>
      <c r="C6" s="48" t="s">
        <v>103</v>
      </c>
      <c r="D6" s="52">
        <v>45313</v>
      </c>
      <c r="E6" s="54">
        <v>2100</v>
      </c>
      <c r="F6" s="57" t="s">
        <v>85</v>
      </c>
    </row>
    <row r="7" spans="1:6" ht="18" customHeight="1" x14ac:dyDescent="0.2">
      <c r="A7" s="49">
        <v>5</v>
      </c>
      <c r="B7" s="47" t="s">
        <v>90</v>
      </c>
      <c r="C7" s="47" t="s">
        <v>21</v>
      </c>
      <c r="D7" s="51">
        <v>45336</v>
      </c>
      <c r="E7" s="53">
        <v>3400</v>
      </c>
      <c r="F7" s="55" t="s">
        <v>79</v>
      </c>
    </row>
    <row r="8" spans="1:6" ht="18" customHeight="1" x14ac:dyDescent="0.2">
      <c r="A8" s="50">
        <v>6</v>
      </c>
      <c r="B8" s="48" t="s">
        <v>98</v>
      </c>
      <c r="C8" s="48" t="s">
        <v>76</v>
      </c>
      <c r="D8" s="52">
        <v>45417</v>
      </c>
      <c r="E8" s="54">
        <v>7200</v>
      </c>
      <c r="F8" s="56" t="s">
        <v>79</v>
      </c>
    </row>
    <row r="9" spans="1:6" ht="18" customHeight="1" x14ac:dyDescent="0.2">
      <c r="A9" s="49">
        <v>7</v>
      </c>
      <c r="B9" s="47" t="s">
        <v>82</v>
      </c>
      <c r="C9" s="47" t="s">
        <v>27</v>
      </c>
      <c r="D9" s="51">
        <v>45458</v>
      </c>
      <c r="E9" s="53">
        <v>320</v>
      </c>
      <c r="F9" s="55" t="s">
        <v>79</v>
      </c>
    </row>
    <row r="10" spans="1:6" ht="18" customHeight="1" x14ac:dyDescent="0.2">
      <c r="A10" s="50">
        <v>8</v>
      </c>
      <c r="B10" s="48" t="s">
        <v>83</v>
      </c>
      <c r="C10" s="48" t="s">
        <v>91</v>
      </c>
      <c r="D10" s="52">
        <v>45491</v>
      </c>
      <c r="E10" s="54">
        <v>1800</v>
      </c>
      <c r="F10" s="57" t="s">
        <v>85</v>
      </c>
    </row>
    <row r="11" spans="1:6" ht="18" customHeight="1" x14ac:dyDescent="0.2">
      <c r="A11" s="49">
        <v>9</v>
      </c>
      <c r="B11" s="47" t="s">
        <v>84</v>
      </c>
      <c r="C11" s="47" t="s">
        <v>80</v>
      </c>
      <c r="D11" s="51">
        <v>45503</v>
      </c>
      <c r="E11" s="53">
        <v>4500</v>
      </c>
      <c r="F11" s="55" t="s">
        <v>79</v>
      </c>
    </row>
    <row r="12" spans="1:6" ht="18" customHeight="1" x14ac:dyDescent="0.2">
      <c r="A12" s="50">
        <v>10</v>
      </c>
      <c r="B12" s="48" t="s">
        <v>78</v>
      </c>
      <c r="C12" s="48" t="s">
        <v>88</v>
      </c>
      <c r="D12" s="52">
        <v>45516</v>
      </c>
      <c r="E12" s="54">
        <v>890</v>
      </c>
      <c r="F12" s="56" t="s">
        <v>79</v>
      </c>
    </row>
    <row r="13" spans="1:6" ht="18" customHeight="1" x14ac:dyDescent="0.2">
      <c r="A13" s="49">
        <v>11</v>
      </c>
      <c r="B13" s="47" t="s">
        <v>96</v>
      </c>
      <c r="C13" s="47" t="s">
        <v>103</v>
      </c>
      <c r="D13" s="51">
        <v>45540</v>
      </c>
      <c r="E13" s="53">
        <v>2100</v>
      </c>
      <c r="F13" s="58" t="s">
        <v>85</v>
      </c>
    </row>
    <row r="14" spans="1:6" ht="18" customHeight="1" x14ac:dyDescent="0.2">
      <c r="A14" s="50">
        <v>12</v>
      </c>
      <c r="B14" s="48" t="s">
        <v>90</v>
      </c>
      <c r="C14" s="48" t="s">
        <v>21</v>
      </c>
      <c r="D14" s="52">
        <v>45575</v>
      </c>
      <c r="E14" s="54">
        <v>3400</v>
      </c>
      <c r="F14" s="56" t="s">
        <v>79</v>
      </c>
    </row>
    <row r="15" spans="1:6" ht="18" customHeight="1" x14ac:dyDescent="0.2">
      <c r="A15" s="49">
        <v>13</v>
      </c>
      <c r="B15" s="47" t="s">
        <v>98</v>
      </c>
      <c r="C15" s="47" t="s">
        <v>76</v>
      </c>
      <c r="D15" s="51">
        <v>45597</v>
      </c>
      <c r="E15" s="53">
        <v>7200</v>
      </c>
      <c r="F15" s="55" t="s">
        <v>79</v>
      </c>
    </row>
    <row r="16" spans="1:6" ht="18" customHeight="1" x14ac:dyDescent="0.2">
      <c r="A16" s="50">
        <v>14</v>
      </c>
      <c r="B16" s="48" t="s">
        <v>83</v>
      </c>
      <c r="C16" s="48" t="s">
        <v>91</v>
      </c>
      <c r="D16" s="52">
        <v>45611</v>
      </c>
      <c r="E16" s="54">
        <v>1800</v>
      </c>
      <c r="F16" s="56" t="s">
        <v>79</v>
      </c>
    </row>
    <row r="17" spans="1:6" ht="18" customHeight="1" x14ac:dyDescent="0.2">
      <c r="A17" s="49">
        <v>15</v>
      </c>
      <c r="B17" s="47" t="s">
        <v>82</v>
      </c>
      <c r="C17" s="47" t="s">
        <v>27</v>
      </c>
      <c r="D17" s="51">
        <v>45627</v>
      </c>
      <c r="E17" s="53">
        <v>320</v>
      </c>
      <c r="F17" s="58" t="s">
        <v>85</v>
      </c>
    </row>
    <row r="18" spans="1:6" ht="18" customHeight="1" x14ac:dyDescent="0.2">
      <c r="A18" s="50">
        <v>16</v>
      </c>
      <c r="B18" s="48" t="s">
        <v>84</v>
      </c>
      <c r="C18" s="48" t="s">
        <v>80</v>
      </c>
      <c r="D18" s="52">
        <v>45641</v>
      </c>
      <c r="E18" s="54">
        <v>4500</v>
      </c>
      <c r="F18" s="57" t="s">
        <v>85</v>
      </c>
    </row>
    <row r="19" spans="1:6" ht="18" customHeight="1" x14ac:dyDescent="0.2">
      <c r="A19" s="49">
        <v>17</v>
      </c>
      <c r="B19" s="47" t="s">
        <v>78</v>
      </c>
      <c r="C19" s="47" t="s">
        <v>88</v>
      </c>
      <c r="D19" s="51">
        <v>45654</v>
      </c>
      <c r="E19" s="53">
        <v>890</v>
      </c>
      <c r="F19" s="55" t="s">
        <v>79</v>
      </c>
    </row>
    <row r="20" spans="1:6" ht="18" customHeight="1" x14ac:dyDescent="0.2">
      <c r="A20" s="50">
        <v>18</v>
      </c>
      <c r="B20" s="48" t="s">
        <v>96</v>
      </c>
      <c r="C20" s="48" t="s">
        <v>103</v>
      </c>
      <c r="D20" s="52">
        <v>45657</v>
      </c>
      <c r="E20" s="54">
        <v>2100</v>
      </c>
      <c r="F20" s="5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Ventas</vt:lpstr>
      <vt:lpstr>Gastos</vt:lpstr>
      <vt:lpstr>Empleados</vt:lpstr>
      <vt:lpstr>Resumen</vt:lpstr>
      <vt:lpstr>Errores_Demo</vt:lpstr>
      <vt:lpstr>Formulas_Avanzadas</vt:lpstr>
      <vt:lpstr>Datos sucios</vt:lpstr>
      <vt:lpstr>Datos 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ANGEL TEHERAN GARCIA</cp:lastModifiedBy>
  <cp:revision>0</cp:revision>
  <dcterms:created xsi:type="dcterms:W3CDTF">2026-05-09T00:24:35Z</dcterms:created>
  <dcterms:modified xsi:type="dcterms:W3CDTF">2026-05-12T04:26:18Z</dcterms:modified>
  <dc:language>en-US</dc:language>
</cp:coreProperties>
</file>